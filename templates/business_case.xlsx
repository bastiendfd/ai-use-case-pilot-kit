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Scenarios" sheetId="3" state="visible" r:id="rId3"/>
    <sheet name="Calculation" sheetId="4" state="visible" r:id="rId4"/>
    <sheet name="Cash flow" sheetId="5" state="visible" r:id="rId5"/>
    <sheet name="Assumptions log" sheetId="6" state="visible" r:id="rId6"/>
  </sheets>
  <definedNames>
    <definedName name="volume_per_month">Inputs!$D$5</definedName>
    <definedName name="minutes_before">Inputs!$D$6</definedName>
    <definedName name="minutes_after">Inputs!$D$7</definedName>
    <definedName name="hourly_cost_eur">Inputs!$D$8</definedName>
    <definedName name="share_hours_redeployed">Inputs!$D$9</definedName>
    <definedName name="error_rate_before">Inputs!$D$10</definedName>
    <definedName name="error_rate_after">Inputs!$D$11</definedName>
    <definedName name="cost_per_error_eur">Inputs!$D$12</definedName>
    <definedName name="licence_cost_per_year_eur">Inputs!$D$13</definedName>
    <definedName name="build_days">Inputs!$D$14</definedName>
    <definedName name="day_rate_eur">Inputs!$D$15</definedName>
    <definedName name="other_one_off_eur">Inputs!$D$16</definedName>
    <definedName name="run_cost_per_year_eur">Inputs!$D$17</definedName>
    <definedName name="adoption_initial">Inputs!$D$18</definedName>
    <definedName name="ramp_months">Inputs!$D$19</definedName>
    <definedName name="adoption_steady">Inputs!$D$20</definedName>
    <definedName name="discount_rate">Inputs!$D$21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€#,##0"/>
    <numFmt numFmtId="166" formatCode="0.0%"/>
  </numFmts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C00000"/>
    </font>
    <font>
      <b val="1"/>
    </font>
    <font>
      <color rgb="000000CC"/>
    </font>
    <font>
      <i val="1"/>
    </font>
    <font/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3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166" fontId="4" fillId="3" borderId="1" pivotButton="0" quotePrefix="0" xfId="0"/>
    <xf numFmtId="1" fontId="4" fillId="3" borderId="1" pivotButton="0" quotePrefix="0" xfId="0"/>
    <xf numFmtId="164" fontId="0" fillId="0" borderId="1" pivotButton="0" quotePrefix="0" xfId="0"/>
    <xf numFmtId="0" fontId="0" fillId="0" borderId="0" applyAlignment="1" pivotButton="0" quotePrefix="0" xfId="0">
      <alignment vertical="top" wrapText="1"/>
    </xf>
    <xf numFmtId="9" fontId="0" fillId="0" borderId="1" pivotButton="0" quotePrefix="0" xfId="0"/>
    <xf numFmtId="0" fontId="5" fillId="0" borderId="0" pivotButton="0" quotePrefix="0" xfId="0"/>
    <xf numFmtId="3" fontId="0" fillId="0" borderId="1" pivotButton="0" quotePrefix="0" xfId="0"/>
    <xf numFmtId="164" fontId="3" fillId="0" borderId="1" pivotButton="0" quotePrefix="0" xfId="0"/>
    <xf numFmtId="165" fontId="0" fillId="0" borderId="1" pivotButton="0" quotePrefix="0" xfId="0"/>
    <xf numFmtId="9" fontId="3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6" fillId="0" borderId="0" pivotButton="0" quotePrefix="0" xfId="0"/>
    <xf numFmtId="165" fontId="0" fillId="4" borderId="1" pivotButton="0" quotePrefix="0" xfId="0"/>
    <xf numFmtId="1" fontId="0" fillId="4" borderId="1" pivotButton="0" quotePrefix="0" xfId="0"/>
    <xf numFmtId="9" fontId="0" fillId="4" borderId="1" pivotButton="0" quotePrefix="0" xfId="0"/>
    <xf numFmtId="0" fontId="3" fillId="2" borderId="0" pivotButton="0" quotePrefix="0" xfId="0"/>
    <xf numFmtId="9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Business case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</row>
    <row r="5">
      <c r="A5" t="inlineStr"/>
    </row>
    <row r="6">
      <c r="A6" s="3" t="inlineStr">
        <is>
          <t>How to use</t>
        </is>
      </c>
    </row>
    <row r="7">
      <c r="A7" t="inlineStr">
        <is>
          <t>1. Enter inputs on the 'Inputs' sheet (blue text on yellow = input). Everything else is a formula.</t>
        </is>
      </c>
    </row>
    <row r="8">
      <c r="A8" t="inlineStr">
        <is>
          <t>2. Enter the pessimistic and optimistic values of the three most uncertain inputs on 'Scenarios'.</t>
        </is>
      </c>
    </row>
    <row r="9">
      <c r="A9" t="inlineStr">
        <is>
          <t>3. Record the source and confidence of every input on 'Assumptions log'.</t>
        </is>
      </c>
    </row>
    <row r="10">
      <c r="A10" t="inlineStr">
        <is>
          <t>4. Read the results on 'Calculation'. 'Cash flow' shows the 36 months behind payback and NPV.</t>
        </is>
      </c>
    </row>
    <row r="11">
      <c r="A11" t="inlineStr"/>
    </row>
    <row r="12">
      <c r="A12" s="3" t="inlineStr">
        <is>
          <t>Counting rules</t>
        </is>
      </c>
    </row>
    <row r="13">
      <c r="A13" t="inlineStr">
        <is>
          <t>- A benefit counts only once. If the same saved hours or avoided errors appear in another use case, count them in one case only.</t>
        </is>
      </c>
    </row>
    <row r="14">
      <c r="A14" t="inlineStr">
        <is>
          <t>- Hours saved are not cash. They count as cash only if they are redeployed to valued work or a cost is avoided (overtime, temporary staff, a planned hire). The share is an explicit input; the rest is shown as 'not counted'.</t>
        </is>
      </c>
    </row>
    <row r="15">
      <c r="A15" t="inlineStr">
        <is>
          <t>- Benefits ramp up with adoption. Nothing starts at 100% on day one.</t>
        </is>
      </c>
    </row>
    <row r="16">
      <c r="A16" t="inlineStr">
        <is>
          <t>- Run costs are part of the case: licences, hosting, monitoring, support, retraining.</t>
        </is>
      </c>
    </row>
    <row r="17">
      <c r="A17" t="inlineStr">
        <is>
          <t>- Scenarios change only the three most uncertain inputs. All other inputs stay at their base value.</t>
        </is>
      </c>
    </row>
    <row r="18">
      <c r="A18" t="inlineStr">
        <is>
          <t>- Every input has a source or reasoning and a confidence level in the assumptions log.</t>
        </is>
      </c>
    </row>
    <row r="19">
      <c r="A19" t="inlineStr">
        <is>
          <t>- A negative scenario is a decision input, not a footnote. If the 3-year NPV is negative in any scenario, the case can only be approved with conditions: a review gate 3 months after go-live, and stop or rework if adoption or time saved fall to their pessimistic values.</t>
        </is>
      </c>
    </row>
    <row r="20">
      <c r="A20" t="inlineStr"/>
    </row>
    <row r="21">
      <c r="A21" t="inlineStr">
        <is>
          <t>Nothing in this workbook is protected. Results are recalculated when the file is opened.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2" customWidth="1" min="3" max="3"/>
    <col width="14" customWidth="1" min="4" max="4"/>
    <col width="40" customWidth="1" min="5" max="5"/>
  </cols>
  <sheetData>
    <row r="1">
      <c r="A1" s="1" t="inlineStr">
        <is>
          <t>Inputs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</row>
    <row r="4">
      <c r="A4" s="4" t="inlineStr">
        <is>
          <t>Group</t>
        </is>
      </c>
      <c r="B4" s="4" t="inlineStr">
        <is>
          <t>ID (defined name)</t>
        </is>
      </c>
      <c r="C4" s="4" t="inlineStr">
        <is>
          <t>Input</t>
        </is>
      </c>
      <c r="D4" s="4" t="inlineStr">
        <is>
          <t>Value</t>
        </is>
      </c>
      <c r="E4" s="4" t="inlineStr">
        <is>
          <t>Unit</t>
        </is>
      </c>
    </row>
    <row r="5">
      <c r="A5" t="inlineStr">
        <is>
          <t>Process</t>
        </is>
      </c>
      <c r="B5" t="inlineStr">
        <is>
          <t>volume_per_month</t>
        </is>
      </c>
      <c r="C5" t="inlineStr">
        <is>
          <t>Transactions per month</t>
        </is>
      </c>
      <c r="D5" s="5" t="n">
        <v>3000</v>
      </c>
      <c r="E5" t="inlineStr">
        <is>
          <t>delivery notes / month</t>
        </is>
      </c>
    </row>
    <row r="6">
      <c r="A6" t="inlineStr">
        <is>
          <t>Process</t>
        </is>
      </c>
      <c r="B6" t="inlineStr">
        <is>
          <t>minutes_before</t>
        </is>
      </c>
      <c r="C6" t="inlineStr">
        <is>
          <t>Handling time per transaction today</t>
        </is>
      </c>
      <c r="D6" s="6" t="n">
        <v>6</v>
      </c>
      <c r="E6" t="inlineStr">
        <is>
          <t>minutes</t>
        </is>
      </c>
    </row>
    <row r="7">
      <c r="A7" t="inlineStr">
        <is>
          <t>Process</t>
        </is>
      </c>
      <c r="B7" t="inlineStr">
        <is>
          <t>minutes_after</t>
        </is>
      </c>
      <c r="C7" t="inlineStr">
        <is>
          <t>Handling time per transaction with the AI solution</t>
        </is>
      </c>
      <c r="D7" s="6" t="n">
        <v>2</v>
      </c>
      <c r="E7" t="inlineStr">
        <is>
          <t>minutes (base; see Scenarios)</t>
        </is>
      </c>
    </row>
    <row r="8">
      <c r="A8" t="inlineStr">
        <is>
          <t>Process</t>
        </is>
      </c>
      <c r="B8" t="inlineStr">
        <is>
          <t>hourly_cost_eur</t>
        </is>
      </c>
      <c r="C8" t="inlineStr">
        <is>
          <t>Fully loaded cost per hour</t>
        </is>
      </c>
      <c r="D8" s="7" t="n">
        <v>70</v>
      </c>
      <c r="E8" t="inlineStr">
        <is>
          <t>EUR / hour</t>
        </is>
      </c>
    </row>
    <row r="9">
      <c r="A9" t="inlineStr">
        <is>
          <t>Process</t>
        </is>
      </c>
      <c r="B9" t="inlineStr">
        <is>
          <t>share_hours_redeployed</t>
        </is>
      </c>
      <c r="C9" t="inlineStr">
        <is>
          <t>Share of saved hours redeployed or avoiding a cost</t>
        </is>
      </c>
      <c r="D9" s="8" t="n">
        <v>0.5</v>
      </c>
      <c r="E9" t="inlineStr">
        <is>
          <t>share (0-1) (base; see Scenarios)</t>
        </is>
      </c>
    </row>
    <row r="10">
      <c r="A10" t="inlineStr">
        <is>
          <t>Process</t>
        </is>
      </c>
      <c r="B10" t="inlineStr">
        <is>
          <t>error_rate_before</t>
        </is>
      </c>
      <c r="C10" t="inlineStr">
        <is>
          <t>Error rate today</t>
        </is>
      </c>
      <c r="D10" s="9" t="n">
        <v>0.03</v>
      </c>
      <c r="E10" t="inlineStr">
        <is>
          <t>share of transactions</t>
        </is>
      </c>
    </row>
    <row r="11">
      <c r="A11" t="inlineStr">
        <is>
          <t>Process</t>
        </is>
      </c>
      <c r="B11" t="inlineStr">
        <is>
          <t>error_rate_after</t>
        </is>
      </c>
      <c r="C11" t="inlineStr">
        <is>
          <t>Error rate with the AI solution</t>
        </is>
      </c>
      <c r="D11" s="9" t="n">
        <v>0.01</v>
      </c>
      <c r="E11" t="inlineStr">
        <is>
          <t>share of transactions</t>
        </is>
      </c>
    </row>
    <row r="12">
      <c r="A12" t="inlineStr">
        <is>
          <t>Process</t>
        </is>
      </c>
      <c r="B12" t="inlineStr">
        <is>
          <t>cost_per_error_eur</t>
        </is>
      </c>
      <c r="C12" t="inlineStr">
        <is>
          <t>Cost per error</t>
        </is>
      </c>
      <c r="D12" s="7" t="n">
        <v>50</v>
      </c>
      <c r="E12" t="inlineStr">
        <is>
          <t>EUR / error</t>
        </is>
      </c>
    </row>
    <row r="13">
      <c r="A13" t="inlineStr">
        <is>
          <t>Costs</t>
        </is>
      </c>
      <c r="B13" t="inlineStr">
        <is>
          <t>licence_cost_per_year_eur</t>
        </is>
      </c>
      <c r="C13" t="inlineStr">
        <is>
          <t>Licence cost per year</t>
        </is>
      </c>
      <c r="D13" s="7" t="n">
        <v>18000</v>
      </c>
      <c r="E13" t="inlineStr">
        <is>
          <t>EUR / year</t>
        </is>
      </c>
    </row>
    <row r="14">
      <c r="A14" t="inlineStr">
        <is>
          <t>Costs</t>
        </is>
      </c>
      <c r="B14" t="inlineStr">
        <is>
          <t>build_days</t>
        </is>
      </c>
      <c r="C14" t="inlineStr">
        <is>
          <t>Internal build effort</t>
        </is>
      </c>
      <c r="D14" s="5" t="n">
        <v>60</v>
      </c>
      <c r="E14" t="inlineStr">
        <is>
          <t>person-days</t>
        </is>
      </c>
    </row>
    <row r="15">
      <c r="A15" t="inlineStr">
        <is>
          <t>Costs</t>
        </is>
      </c>
      <c r="B15" t="inlineStr">
        <is>
          <t>day_rate_eur</t>
        </is>
      </c>
      <c r="C15" t="inlineStr">
        <is>
          <t>Internal day rate</t>
        </is>
      </c>
      <c r="D15" s="7" t="n">
        <v>600</v>
      </c>
      <c r="E15" t="inlineStr">
        <is>
          <t>EUR / day</t>
        </is>
      </c>
    </row>
    <row r="16">
      <c r="A16" t="inlineStr">
        <is>
          <t>Costs</t>
        </is>
      </c>
      <c r="B16" t="inlineStr">
        <is>
          <t>other_one_off_eur</t>
        </is>
      </c>
      <c r="C16" t="inlineStr">
        <is>
          <t>Other one-off costs</t>
        </is>
      </c>
      <c r="D16" s="7" t="n">
        <v>15000</v>
      </c>
      <c r="E16" t="inlineStr">
        <is>
          <t>EUR</t>
        </is>
      </c>
    </row>
    <row r="17">
      <c r="A17" t="inlineStr">
        <is>
          <t>Costs</t>
        </is>
      </c>
      <c r="B17" t="inlineStr">
        <is>
          <t>run_cost_per_year_eur</t>
        </is>
      </c>
      <c r="C17" t="inlineStr">
        <is>
          <t>Run cost per year</t>
        </is>
      </c>
      <c r="D17" s="7" t="n">
        <v>12000</v>
      </c>
      <c r="E17" t="inlineStr">
        <is>
          <t>EUR / year</t>
        </is>
      </c>
    </row>
    <row r="18">
      <c r="A18" t="inlineStr">
        <is>
          <t>Adoption and finance</t>
        </is>
      </c>
      <c r="B18" t="inlineStr">
        <is>
          <t>adoption_initial</t>
        </is>
      </c>
      <c r="C18" t="inlineStr">
        <is>
          <t>Adoption during the ramp-up</t>
        </is>
      </c>
      <c r="D18" s="8" t="n">
        <v>0.5</v>
      </c>
      <c r="E18" t="inlineStr">
        <is>
          <t>share of volume</t>
        </is>
      </c>
    </row>
    <row r="19">
      <c r="A19" t="inlineStr">
        <is>
          <t>Adoption and finance</t>
        </is>
      </c>
      <c r="B19" t="inlineStr">
        <is>
          <t>ramp_months</t>
        </is>
      </c>
      <c r="C19" t="inlineStr">
        <is>
          <t>Length of the ramp-up</t>
        </is>
      </c>
      <c r="D19" s="10" t="n">
        <v>3</v>
      </c>
      <c r="E19" t="inlineStr">
        <is>
          <t>months</t>
        </is>
      </c>
    </row>
    <row r="20">
      <c r="A20" t="inlineStr">
        <is>
          <t>Adoption and finance</t>
        </is>
      </c>
      <c r="B20" t="inlineStr">
        <is>
          <t>adoption_steady</t>
        </is>
      </c>
      <c r="C20" t="inlineStr">
        <is>
          <t>Adoption after the ramp-up</t>
        </is>
      </c>
      <c r="D20" s="8" t="n">
        <v>0.8</v>
      </c>
      <c r="E20" t="inlineStr">
        <is>
          <t>share of volume (base; see Scenarios)</t>
        </is>
      </c>
    </row>
    <row r="21">
      <c r="A21" t="inlineStr">
        <is>
          <t>Adoption and finance</t>
        </is>
      </c>
      <c r="B21" t="inlineStr">
        <is>
          <t>discount_rate</t>
        </is>
      </c>
      <c r="C21" t="inlineStr">
        <is>
          <t>Discount rate</t>
        </is>
      </c>
      <c r="D21" s="9" t="n">
        <v>0.08</v>
      </c>
      <c r="E21" t="inlineStr">
        <is>
          <t>per 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13" customWidth="1" min="3" max="3"/>
    <col width="13" customWidth="1" min="4" max="4"/>
    <col width="13" customWidth="1" min="5" max="5"/>
    <col width="22" customWidth="1" min="6" max="6"/>
    <col width="60" customWidth="1" min="7" max="7"/>
  </cols>
  <sheetData>
    <row r="1">
      <c r="A1" s="1" t="inlineStr">
        <is>
          <t>Scenarios: the three most uncertain inputs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</row>
    <row r="4">
      <c r="A4" s="4" t="inlineStr">
        <is>
          <t>ID</t>
        </is>
      </c>
      <c r="B4" s="4" t="inlineStr">
        <is>
          <t>Input</t>
        </is>
      </c>
      <c r="C4" s="4" t="inlineStr">
        <is>
          <t>Pessimistic</t>
        </is>
      </c>
      <c r="D4" s="4" t="inlineStr">
        <is>
          <t>Base</t>
        </is>
      </c>
      <c r="E4" s="4" t="inlineStr">
        <is>
          <t>Optimistic</t>
        </is>
      </c>
      <c r="F4" s="4" t="inlineStr">
        <is>
          <t>Unit</t>
        </is>
      </c>
      <c r="G4" s="4" t="inlineStr">
        <is>
          <t>Why it is uncertain</t>
        </is>
      </c>
    </row>
    <row r="5">
      <c r="A5" t="inlineStr">
        <is>
          <t>minutes_after</t>
        </is>
      </c>
      <c r="B5" t="inlineStr">
        <is>
          <t>Handling time per transaction with the AI solution</t>
        </is>
      </c>
      <c r="C5" s="6" t="n">
        <v>3</v>
      </c>
      <c r="D5" s="11">
        <f>Inputs!$D$7</f>
        <v/>
      </c>
      <c r="E5" s="6" t="n">
        <v>1.5</v>
      </c>
      <c r="F5" t="inlineStr">
        <is>
          <t>minutes</t>
        </is>
      </c>
      <c r="G5" s="12" t="inlineStr">
        <is>
          <t>Checking time depends on extraction quality across 400 supplier layouts.</t>
        </is>
      </c>
    </row>
    <row r="6">
      <c r="A6" t="inlineStr">
        <is>
          <t>share_hours_redeployed</t>
        </is>
      </c>
      <c r="B6" t="inlineStr">
        <is>
          <t>Share of saved hours redeployed or avoiding a cost</t>
        </is>
      </c>
      <c r="C6" s="8" t="n">
        <v>0.25</v>
      </c>
      <c r="D6" s="13">
        <f>Inputs!$D$9</f>
        <v/>
      </c>
      <c r="E6" s="8" t="n">
        <v>0.75</v>
      </c>
      <c r="F6" t="inlineStr">
        <is>
          <t>share (0-1)</t>
        </is>
      </c>
      <c r="G6" s="12" t="inlineStr">
        <is>
          <t>Depends on whether the claims backlog really absorbs the freed time.</t>
        </is>
      </c>
    </row>
    <row r="7">
      <c r="A7" t="inlineStr">
        <is>
          <t>adoption_steady</t>
        </is>
      </c>
      <c r="B7" t="inlineStr">
        <is>
          <t>Adoption after the ramp-up</t>
        </is>
      </c>
      <c r="C7" s="8" t="n">
        <v>0.6</v>
      </c>
      <c r="D7" s="13">
        <f>Inputs!$D$20</f>
        <v/>
      </c>
      <c r="E7" s="8" t="n">
        <v>0.9</v>
      </c>
      <c r="F7" t="inlineStr">
        <is>
          <t>share of volume</t>
        </is>
      </c>
      <c r="G7" s="12" t="inlineStr">
        <is>
          <t>Depends on how many suppliers send machine-readable PDFs.</t>
        </is>
      </c>
    </row>
    <row r="9">
      <c r="A9" s="14" t="inlineStr">
        <is>
          <t>Base values come from the Inputs sheet. Change them there.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5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Calculation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</row>
    <row r="4">
      <c r="A4" s="4" t="inlineStr">
        <is>
          <t>Metric</t>
        </is>
      </c>
      <c r="B4" s="4" t="inlineStr">
        <is>
          <t>How it is calculated</t>
        </is>
      </c>
      <c r="C4" s="4" t="inlineStr">
        <is>
          <t>Pessimistic</t>
        </is>
      </c>
      <c r="D4" s="4" t="inlineStr">
        <is>
          <t>Base</t>
        </is>
      </c>
      <c r="E4" s="4" t="inlineStr">
        <is>
          <t>Optimistic</t>
        </is>
      </c>
    </row>
    <row r="5">
      <c r="A5" s="3" t="inlineStr">
        <is>
          <t>Effective inputs</t>
        </is>
      </c>
    </row>
    <row r="6">
      <c r="A6" t="inlineStr">
        <is>
          <t>Transactions per month</t>
        </is>
      </c>
      <c r="B6" t="inlineStr">
        <is>
          <t>Inputs sheet (same in all scenarios)</t>
        </is>
      </c>
      <c r="C6" s="15">
        <f>volume_per_month</f>
        <v/>
      </c>
      <c r="D6" s="15">
        <f>volume_per_month</f>
        <v/>
      </c>
      <c r="E6" s="15">
        <f>volume_per_month</f>
        <v/>
      </c>
    </row>
    <row r="7">
      <c r="A7" t="inlineStr">
        <is>
          <t>Handling time per transaction today</t>
        </is>
      </c>
      <c r="B7" t="inlineStr">
        <is>
          <t>Inputs sheet (same in all scenarios)</t>
        </is>
      </c>
      <c r="C7" s="11">
        <f>minutes_before</f>
        <v/>
      </c>
      <c r="D7" s="11">
        <f>minutes_before</f>
        <v/>
      </c>
      <c r="E7" s="11">
        <f>minutes_before</f>
        <v/>
      </c>
    </row>
    <row r="8">
      <c r="A8" t="inlineStr">
        <is>
          <t>Handling time per transaction with the AI solution</t>
        </is>
      </c>
      <c r="B8" t="inlineStr">
        <is>
          <t>Scenarios sheet</t>
        </is>
      </c>
      <c r="C8" s="16">
        <f>Scenarios!C5</f>
        <v/>
      </c>
      <c r="D8" s="16">
        <f>Scenarios!D5</f>
        <v/>
      </c>
      <c r="E8" s="16">
        <f>Scenarios!E5</f>
        <v/>
      </c>
    </row>
    <row r="9">
      <c r="A9" t="inlineStr">
        <is>
          <t>Fully loaded cost per hour</t>
        </is>
      </c>
      <c r="B9" t="inlineStr">
        <is>
          <t>Inputs sheet (same in all scenarios)</t>
        </is>
      </c>
      <c r="C9" s="17">
        <f>hourly_cost_eur</f>
        <v/>
      </c>
      <c r="D9" s="17">
        <f>hourly_cost_eur</f>
        <v/>
      </c>
      <c r="E9" s="17">
        <f>hourly_cost_eur</f>
        <v/>
      </c>
    </row>
    <row r="10">
      <c r="A10" t="inlineStr">
        <is>
          <t>Share of saved hours redeployed or avoiding a cost</t>
        </is>
      </c>
      <c r="B10" t="inlineStr">
        <is>
          <t>Scenarios sheet</t>
        </is>
      </c>
      <c r="C10" s="18">
        <f>Scenarios!C6</f>
        <v/>
      </c>
      <c r="D10" s="18">
        <f>Scenarios!D6</f>
        <v/>
      </c>
      <c r="E10" s="18">
        <f>Scenarios!E6</f>
        <v/>
      </c>
    </row>
    <row r="11">
      <c r="A11" t="inlineStr">
        <is>
          <t>Error rate today</t>
        </is>
      </c>
      <c r="B11" t="inlineStr">
        <is>
          <t>Inputs sheet (same in all scenarios)</t>
        </is>
      </c>
      <c r="C11" s="19">
        <f>error_rate_before</f>
        <v/>
      </c>
      <c r="D11" s="19">
        <f>error_rate_before</f>
        <v/>
      </c>
      <c r="E11" s="19">
        <f>error_rate_before</f>
        <v/>
      </c>
    </row>
    <row r="12">
      <c r="A12" t="inlineStr">
        <is>
          <t>Error rate with the AI solution</t>
        </is>
      </c>
      <c r="B12" t="inlineStr">
        <is>
          <t>Inputs sheet (same in all scenarios)</t>
        </is>
      </c>
      <c r="C12" s="19">
        <f>error_rate_after</f>
        <v/>
      </c>
      <c r="D12" s="19">
        <f>error_rate_after</f>
        <v/>
      </c>
      <c r="E12" s="19">
        <f>error_rate_after</f>
        <v/>
      </c>
    </row>
    <row r="13">
      <c r="A13" t="inlineStr">
        <is>
          <t>Cost per error</t>
        </is>
      </c>
      <c r="B13" t="inlineStr">
        <is>
          <t>Inputs sheet (same in all scenarios)</t>
        </is>
      </c>
      <c r="C13" s="17">
        <f>cost_per_error_eur</f>
        <v/>
      </c>
      <c r="D13" s="17">
        <f>cost_per_error_eur</f>
        <v/>
      </c>
      <c r="E13" s="17">
        <f>cost_per_error_eur</f>
        <v/>
      </c>
    </row>
    <row r="14">
      <c r="A14" t="inlineStr">
        <is>
          <t>Licence cost per year</t>
        </is>
      </c>
      <c r="B14" t="inlineStr">
        <is>
          <t>Inputs sheet (same in all scenarios)</t>
        </is>
      </c>
      <c r="C14" s="17">
        <f>licence_cost_per_year_eur</f>
        <v/>
      </c>
      <c r="D14" s="17">
        <f>licence_cost_per_year_eur</f>
        <v/>
      </c>
      <c r="E14" s="17">
        <f>licence_cost_per_year_eur</f>
        <v/>
      </c>
    </row>
    <row r="15">
      <c r="A15" t="inlineStr">
        <is>
          <t>Internal build effort</t>
        </is>
      </c>
      <c r="B15" t="inlineStr">
        <is>
          <t>Inputs sheet (same in all scenarios)</t>
        </is>
      </c>
      <c r="C15" s="15">
        <f>build_days</f>
        <v/>
      </c>
      <c r="D15" s="15">
        <f>build_days</f>
        <v/>
      </c>
      <c r="E15" s="15">
        <f>build_days</f>
        <v/>
      </c>
    </row>
    <row r="16">
      <c r="A16" t="inlineStr">
        <is>
          <t>Internal day rate</t>
        </is>
      </c>
      <c r="B16" t="inlineStr">
        <is>
          <t>Inputs sheet (same in all scenarios)</t>
        </is>
      </c>
      <c r="C16" s="17">
        <f>day_rate_eur</f>
        <v/>
      </c>
      <c r="D16" s="17">
        <f>day_rate_eur</f>
        <v/>
      </c>
      <c r="E16" s="17">
        <f>day_rate_eur</f>
        <v/>
      </c>
    </row>
    <row r="17">
      <c r="A17" t="inlineStr">
        <is>
          <t>Other one-off costs</t>
        </is>
      </c>
      <c r="B17" t="inlineStr">
        <is>
          <t>Inputs sheet (same in all scenarios)</t>
        </is>
      </c>
      <c r="C17" s="17">
        <f>other_one_off_eur</f>
        <v/>
      </c>
      <c r="D17" s="17">
        <f>other_one_off_eur</f>
        <v/>
      </c>
      <c r="E17" s="17">
        <f>other_one_off_eur</f>
        <v/>
      </c>
    </row>
    <row r="18">
      <c r="A18" t="inlineStr">
        <is>
          <t>Run cost per year</t>
        </is>
      </c>
      <c r="B18" t="inlineStr">
        <is>
          <t>Inputs sheet (same in all scenarios)</t>
        </is>
      </c>
      <c r="C18" s="17">
        <f>run_cost_per_year_eur</f>
        <v/>
      </c>
      <c r="D18" s="17">
        <f>run_cost_per_year_eur</f>
        <v/>
      </c>
      <c r="E18" s="17">
        <f>run_cost_per_year_eur</f>
        <v/>
      </c>
    </row>
    <row r="19">
      <c r="A19" t="inlineStr">
        <is>
          <t>Adoption during the ramp-up</t>
        </is>
      </c>
      <c r="B19" t="inlineStr">
        <is>
          <t>Inputs sheet (same in all scenarios)</t>
        </is>
      </c>
      <c r="C19" s="13">
        <f>adoption_initial</f>
        <v/>
      </c>
      <c r="D19" s="13">
        <f>adoption_initial</f>
        <v/>
      </c>
      <c r="E19" s="13">
        <f>adoption_initial</f>
        <v/>
      </c>
    </row>
    <row r="20">
      <c r="A20" t="inlineStr">
        <is>
          <t>Length of the ramp-up</t>
        </is>
      </c>
      <c r="B20" t="inlineStr">
        <is>
          <t>Inputs sheet (same in all scenarios)</t>
        </is>
      </c>
      <c r="C20" s="20">
        <f>ramp_months</f>
        <v/>
      </c>
      <c r="D20" s="20">
        <f>ramp_months</f>
        <v/>
      </c>
      <c r="E20" s="20">
        <f>ramp_months</f>
        <v/>
      </c>
    </row>
    <row r="21">
      <c r="A21" t="inlineStr">
        <is>
          <t>Adoption after the ramp-up</t>
        </is>
      </c>
      <c r="B21" t="inlineStr">
        <is>
          <t>Scenarios sheet</t>
        </is>
      </c>
      <c r="C21" s="18">
        <f>Scenarios!C7</f>
        <v/>
      </c>
      <c r="D21" s="18">
        <f>Scenarios!D7</f>
        <v/>
      </c>
      <c r="E21" s="18">
        <f>Scenarios!E7</f>
        <v/>
      </c>
    </row>
    <row r="22">
      <c r="A22" t="inlineStr">
        <is>
          <t>Discount rate</t>
        </is>
      </c>
      <c r="B22" t="inlineStr">
        <is>
          <t>Inputs sheet (same in all scenarios)</t>
        </is>
      </c>
      <c r="C22" s="19">
        <f>discount_rate</f>
        <v/>
      </c>
      <c r="D22" s="19">
        <f>discount_rate</f>
        <v/>
      </c>
      <c r="E22" s="19">
        <f>discount_rate</f>
        <v/>
      </c>
    </row>
    <row r="24">
      <c r="A24" s="3" t="inlineStr">
        <is>
          <t>Results</t>
        </is>
      </c>
    </row>
    <row r="25">
      <c r="A25" s="21" t="inlineStr">
        <is>
          <t>Hours saved per month at full adoption</t>
        </is>
      </c>
      <c r="B25" t="inlineStr">
        <is>
          <t>volume x (minutes before - after) / 60</t>
        </is>
      </c>
      <c r="C25" s="15">
        <f>C6*(C7-C8)/60</f>
        <v/>
      </c>
      <c r="D25" s="15">
        <f>D6*(D7-D8)/60</f>
        <v/>
      </c>
      <c r="E25" s="15">
        <f>E6*(E7-E8)/60</f>
        <v/>
      </c>
    </row>
    <row r="26">
      <c r="A26" s="21" t="inlineStr">
        <is>
          <t xml:space="preserve">  of which counted as cash</t>
        </is>
      </c>
      <c r="B26" t="inlineStr">
        <is>
          <t>hours saved x share redeployed</t>
        </is>
      </c>
      <c r="C26" s="15">
        <f>C25*C10</f>
        <v/>
      </c>
      <c r="D26" s="15">
        <f>D25*D10</f>
        <v/>
      </c>
      <c r="E26" s="15">
        <f>E25*E10</f>
        <v/>
      </c>
    </row>
    <row r="27">
      <c r="A27" s="21" t="inlineStr">
        <is>
          <t>Cash value of redeployed hours per month</t>
        </is>
      </c>
      <c r="B27" t="inlineStr">
        <is>
          <t>hours counted as cash x hourly cost</t>
        </is>
      </c>
      <c r="C27" s="17">
        <f>C26*C9</f>
        <v/>
      </c>
      <c r="D27" s="17">
        <f>D26*D9</f>
        <v/>
      </c>
      <c r="E27" s="17">
        <f>E26*E9</f>
        <v/>
      </c>
    </row>
    <row r="28">
      <c r="A28" s="21" t="inlineStr">
        <is>
          <t>Errors avoided per month at full adoption</t>
        </is>
      </c>
      <c r="B28" t="inlineStr">
        <is>
          <t>volume x (error rate before - after)</t>
        </is>
      </c>
      <c r="C28" s="15">
        <f>C6*(C11-C12)</f>
        <v/>
      </c>
      <c r="D28" s="15">
        <f>D6*(D11-D12)</f>
        <v/>
      </c>
      <c r="E28" s="15">
        <f>E6*(E11-E12)</f>
        <v/>
      </c>
    </row>
    <row r="29">
      <c r="A29" s="21" t="inlineStr">
        <is>
          <t>Value of errors avoided per month</t>
        </is>
      </c>
      <c r="B29" t="inlineStr">
        <is>
          <t>errors avoided x cost per error</t>
        </is>
      </c>
      <c r="C29" s="17">
        <f>C28*C13</f>
        <v/>
      </c>
      <c r="D29" s="17">
        <f>D28*D13</f>
        <v/>
      </c>
      <c r="E29" s="17">
        <f>E28*E13</f>
        <v/>
      </c>
    </row>
    <row r="30">
      <c r="A30" s="21" t="inlineStr">
        <is>
          <t>Monthly benefit at full adoption</t>
        </is>
      </c>
      <c r="B30" t="inlineStr">
        <is>
          <t>cash value of hours + value of errors avoided</t>
        </is>
      </c>
      <c r="C30" s="17">
        <f>C27+C29</f>
        <v/>
      </c>
      <c r="D30" s="17">
        <f>D27+D29</f>
        <v/>
      </c>
      <c r="E30" s="17">
        <f>E27+E29</f>
        <v/>
      </c>
    </row>
    <row r="31">
      <c r="A31" s="3" t="inlineStr">
        <is>
          <t>Annual benefit at steady adoption</t>
        </is>
      </c>
      <c r="B31" t="inlineStr">
        <is>
          <t>12 x monthly benefit x steady adoption</t>
        </is>
      </c>
      <c r="C31" s="22">
        <f>12*C30*C21</f>
        <v/>
      </c>
      <c r="D31" s="22">
        <f>12*D30*D21</f>
        <v/>
      </c>
      <c r="E31" s="22">
        <f>12*E30*E21</f>
        <v/>
      </c>
    </row>
    <row r="32">
      <c r="A32" s="3" t="inlineStr">
        <is>
          <t>One-off cost (month 0)</t>
        </is>
      </c>
      <c r="B32" t="inlineStr">
        <is>
          <t>build days x day rate + other one-off costs</t>
        </is>
      </c>
      <c r="C32" s="22">
        <f>C15*C16+C17</f>
        <v/>
      </c>
      <c r="D32" s="22">
        <f>D15*D16+D17</f>
        <v/>
      </c>
      <c r="E32" s="22">
        <f>E15*E16+E17</f>
        <v/>
      </c>
    </row>
    <row r="33">
      <c r="A33" s="3" t="inlineStr">
        <is>
          <t>Annual run cost</t>
        </is>
      </c>
      <c r="B33" t="inlineStr">
        <is>
          <t>licence + run cost per year</t>
        </is>
      </c>
      <c r="C33" s="22">
        <f>C14+C18</f>
        <v/>
      </c>
      <c r="D33" s="22">
        <f>D14+D18</f>
        <v/>
      </c>
      <c r="E33" s="22">
        <f>E14+E18</f>
        <v/>
      </c>
    </row>
    <row r="34">
      <c r="A34" s="3" t="inlineStr">
        <is>
          <t>Payback (months)</t>
        </is>
      </c>
      <c r="B34" t="inlineStr">
        <is>
          <t>first month with cumulative net cash flow &gt;= 0</t>
        </is>
      </c>
      <c r="C34" s="23">
        <f>IF(COUNT('Cash flow'!H5:H41)=0,"not within 36",MIN('Cash flow'!H5:H41))</f>
        <v/>
      </c>
      <c r="D34" s="23">
        <f>IF(COUNT('Cash flow'!O5:O41)=0,"not within 36",MIN('Cash flow'!O5:O41))</f>
        <v/>
      </c>
      <c r="E34" s="23">
        <f>IF(COUNT('Cash flow'!V5:V41)=0,"not within 36",MIN('Cash flow'!V5:V41))</f>
        <v/>
      </c>
    </row>
    <row r="35">
      <c r="A35" s="3" t="inlineStr">
        <is>
          <t>3-year NPV</t>
        </is>
      </c>
      <c r="B35" t="inlineStr">
        <is>
          <t>sum of monthly net cash flows discounted at (1 + rate)^(month / 12)</t>
        </is>
      </c>
      <c r="C35" s="22">
        <f>SUM('Cash flow'!G5:G41)</f>
        <v/>
      </c>
      <c r="D35" s="22">
        <f>SUM('Cash flow'!N5:N41)</f>
        <v/>
      </c>
      <c r="E35" s="22">
        <f>SUM('Cash flow'!U5:U41)</f>
        <v/>
      </c>
    </row>
    <row r="36">
      <c r="A36" s="21" t="inlineStr">
        <is>
          <t>Total benefit over 3 years</t>
        </is>
      </c>
      <c r="B36" t="inlineStr">
        <is>
          <t>sum of monthly benefits</t>
        </is>
      </c>
      <c r="C36" s="17">
        <f>SUM('Cash flow'!C5:C41)</f>
        <v/>
      </c>
      <c r="D36" s="17">
        <f>SUM('Cash flow'!J5:J41)</f>
        <v/>
      </c>
      <c r="E36" s="17">
        <f>SUM('Cash flow'!Q5:Q41)</f>
        <v/>
      </c>
    </row>
    <row r="37">
      <c r="A37" s="21" t="inlineStr">
        <is>
          <t>Total cost over 3 years</t>
        </is>
      </c>
      <c r="B37" t="inlineStr">
        <is>
          <t>one-off + monthly run costs</t>
        </is>
      </c>
      <c r="C37" s="17">
        <f>SUM('Cash flow'!D5:D41)</f>
        <v/>
      </c>
      <c r="D37" s="17">
        <f>SUM('Cash flow'!K5:K41)</f>
        <v/>
      </c>
      <c r="E37" s="17">
        <f>SUM('Cash flow'!R5:R41)</f>
        <v/>
      </c>
    </row>
    <row r="38">
      <c r="A38" s="3" t="inlineStr">
        <is>
          <t>Simple ROI over 3 years</t>
        </is>
      </c>
      <c r="B38" t="inlineStr">
        <is>
          <t>(total benefit - total cost) / total cost</t>
        </is>
      </c>
      <c r="C38" s="24">
        <f>(C36-C37)/C37</f>
        <v/>
      </c>
      <c r="D38" s="24">
        <f>(D36-D37)/D37</f>
        <v/>
      </c>
      <c r="E38" s="24">
        <f>(E36-E37)/E37</f>
        <v/>
      </c>
    </row>
    <row r="39">
      <c r="A39" s="21" t="inlineStr">
        <is>
          <t>Not counted: value of saved hours not redeployed, per year</t>
        </is>
      </c>
      <c r="B39" t="inlineStr">
        <is>
          <t>for information only; not in NPV</t>
        </is>
      </c>
      <c r="C39" s="17">
        <f>(C25-C26)*C9*12*C21</f>
        <v/>
      </c>
      <c r="D39" s="17">
        <f>(D25-D26)*D9*12*D21</f>
        <v/>
      </c>
      <c r="E39" s="17">
        <f>(E25-E26)*E9*12*E21</f>
        <v/>
      </c>
    </row>
    <row r="41">
      <c r="A41" s="14" t="inlineStr">
        <is>
          <t>Hours are counted as cash only for the redeployed share. See the counting rules on 'Read me'.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Monthly cash flow (36 months)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  <c r="B3" s="3" t="inlineStr">
        <is>
          <t>Pessimistic</t>
        </is>
      </c>
      <c r="I3" s="3" t="inlineStr">
        <is>
          <t>Base</t>
        </is>
      </c>
      <c r="P3" s="3" t="inlineStr">
        <is>
          <t>Optimistic</t>
        </is>
      </c>
    </row>
    <row r="4">
      <c r="A4" s="25" t="inlineStr">
        <is>
          <t>Month</t>
        </is>
      </c>
      <c r="B4" s="4" t="inlineStr">
        <is>
          <t>Adoption</t>
        </is>
      </c>
      <c r="C4" s="4" t="inlineStr">
        <is>
          <t>Benefit</t>
        </is>
      </c>
      <c r="D4" s="4" t="inlineStr">
        <is>
          <t>Cost</t>
        </is>
      </c>
      <c r="E4" s="4" t="inlineStr">
        <is>
          <t>Net</t>
        </is>
      </c>
      <c r="F4" s="4" t="inlineStr">
        <is>
          <t>Cumulative</t>
        </is>
      </c>
      <c r="G4" s="4" t="inlineStr">
        <is>
          <t>Discounted net</t>
        </is>
      </c>
      <c r="H4" s="4" t="inlineStr">
        <is>
          <t>Payback month</t>
        </is>
      </c>
      <c r="I4" s="4" t="inlineStr">
        <is>
          <t>Adoption</t>
        </is>
      </c>
      <c r="J4" s="4" t="inlineStr">
        <is>
          <t>Benefit</t>
        </is>
      </c>
      <c r="K4" s="4" t="inlineStr">
        <is>
          <t>Cost</t>
        </is>
      </c>
      <c r="L4" s="4" t="inlineStr">
        <is>
          <t>Net</t>
        </is>
      </c>
      <c r="M4" s="4" t="inlineStr">
        <is>
          <t>Cumulative</t>
        </is>
      </c>
      <c r="N4" s="4" t="inlineStr">
        <is>
          <t>Discounted net</t>
        </is>
      </c>
      <c r="O4" s="4" t="inlineStr">
        <is>
          <t>Payback month</t>
        </is>
      </c>
      <c r="P4" s="4" t="inlineStr">
        <is>
          <t>Adoption</t>
        </is>
      </c>
      <c r="Q4" s="4" t="inlineStr">
        <is>
          <t>Benefit</t>
        </is>
      </c>
      <c r="R4" s="4" t="inlineStr">
        <is>
          <t>Cost</t>
        </is>
      </c>
      <c r="S4" s="4" t="inlineStr">
        <is>
          <t>Net</t>
        </is>
      </c>
      <c r="T4" s="4" t="inlineStr">
        <is>
          <t>Cumulative</t>
        </is>
      </c>
      <c r="U4" s="4" t="inlineStr">
        <is>
          <t>Discounted net</t>
        </is>
      </c>
      <c r="V4" s="4" t="inlineStr">
        <is>
          <t>Payback month</t>
        </is>
      </c>
    </row>
    <row r="5">
      <c r="A5" t="n">
        <v>0</v>
      </c>
      <c r="B5" s="26">
        <f>IF($A5=0,0,IF($A5&lt;=Calculation!C$20,Calculation!C$19,Calculation!C$21))</f>
        <v/>
      </c>
      <c r="C5" s="27">
        <f>Calculation!C$30*B5</f>
        <v/>
      </c>
      <c r="D5" s="27">
        <f>IF($A5=0,Calculation!C$32,Calculation!C$33/12)</f>
        <v/>
      </c>
      <c r="E5" s="27">
        <f>C5-D5</f>
        <v/>
      </c>
      <c r="F5" s="27">
        <f>E5</f>
        <v/>
      </c>
      <c r="G5" s="27">
        <f>E5/(1+Calculation!C$22)^($A5/12)</f>
        <v/>
      </c>
      <c r="H5" s="28">
        <f>""</f>
        <v/>
      </c>
      <c r="I5" s="26">
        <f>IF($A5=0,0,IF($A5&lt;=Calculation!D$20,Calculation!D$19,Calculation!D$21))</f>
        <v/>
      </c>
      <c r="J5" s="27">
        <f>Calculation!D$30*I5</f>
        <v/>
      </c>
      <c r="K5" s="27">
        <f>IF($A5=0,Calculation!D$32,Calculation!D$33/12)</f>
        <v/>
      </c>
      <c r="L5" s="27">
        <f>J5-K5</f>
        <v/>
      </c>
      <c r="M5" s="27">
        <f>L5</f>
        <v/>
      </c>
      <c r="N5" s="27">
        <f>L5/(1+Calculation!D$22)^($A5/12)</f>
        <v/>
      </c>
      <c r="O5" s="28">
        <f>""</f>
        <v/>
      </c>
      <c r="P5" s="26">
        <f>IF($A5=0,0,IF($A5&lt;=Calculation!E$20,Calculation!E$19,Calculation!E$21))</f>
        <v/>
      </c>
      <c r="Q5" s="27">
        <f>Calculation!E$30*P5</f>
        <v/>
      </c>
      <c r="R5" s="27">
        <f>IF($A5=0,Calculation!E$32,Calculation!E$33/12)</f>
        <v/>
      </c>
      <c r="S5" s="27">
        <f>Q5-R5</f>
        <v/>
      </c>
      <c r="T5" s="27">
        <f>S5</f>
        <v/>
      </c>
      <c r="U5" s="27">
        <f>S5/(1+Calculation!E$22)^($A5/12)</f>
        <v/>
      </c>
      <c r="V5" s="28">
        <f>""</f>
        <v/>
      </c>
    </row>
    <row r="6">
      <c r="A6" t="n">
        <v>1</v>
      </c>
      <c r="B6" s="26">
        <f>IF($A6=0,0,IF($A6&lt;=Calculation!C$20,Calculation!C$19,Calculation!C$21))</f>
        <v/>
      </c>
      <c r="C6" s="27">
        <f>Calculation!C$30*B6</f>
        <v/>
      </c>
      <c r="D6" s="27">
        <f>IF($A6=0,Calculation!C$32,Calculation!C$33/12)</f>
        <v/>
      </c>
      <c r="E6" s="27">
        <f>C6-D6</f>
        <v/>
      </c>
      <c r="F6" s="27">
        <f>F5+E6</f>
        <v/>
      </c>
      <c r="G6" s="27">
        <f>E6/(1+Calculation!C$22)^($A6/12)</f>
        <v/>
      </c>
      <c r="H6" s="28">
        <f>IF(AND(F6&gt;=0,F5&lt;0),$A6,"")</f>
        <v/>
      </c>
      <c r="I6" s="26">
        <f>IF($A6=0,0,IF($A6&lt;=Calculation!D$20,Calculation!D$19,Calculation!D$21))</f>
        <v/>
      </c>
      <c r="J6" s="27">
        <f>Calculation!D$30*I6</f>
        <v/>
      </c>
      <c r="K6" s="27">
        <f>IF($A6=0,Calculation!D$32,Calculation!D$33/12)</f>
        <v/>
      </c>
      <c r="L6" s="27">
        <f>J6-K6</f>
        <v/>
      </c>
      <c r="M6" s="27">
        <f>M5+L6</f>
        <v/>
      </c>
      <c r="N6" s="27">
        <f>L6/(1+Calculation!D$22)^($A6/12)</f>
        <v/>
      </c>
      <c r="O6" s="28">
        <f>IF(AND(M6&gt;=0,M5&lt;0),$A6,"")</f>
        <v/>
      </c>
      <c r="P6" s="26">
        <f>IF($A6=0,0,IF($A6&lt;=Calculation!E$20,Calculation!E$19,Calculation!E$21))</f>
        <v/>
      </c>
      <c r="Q6" s="27">
        <f>Calculation!E$30*P6</f>
        <v/>
      </c>
      <c r="R6" s="27">
        <f>IF($A6=0,Calculation!E$32,Calculation!E$33/12)</f>
        <v/>
      </c>
      <c r="S6" s="27">
        <f>Q6-R6</f>
        <v/>
      </c>
      <c r="T6" s="27">
        <f>T5+S6</f>
        <v/>
      </c>
      <c r="U6" s="27">
        <f>S6/(1+Calculation!E$22)^($A6/12)</f>
        <v/>
      </c>
      <c r="V6" s="28">
        <f>IF(AND(T6&gt;=0,T5&lt;0),$A6,"")</f>
        <v/>
      </c>
    </row>
    <row r="7">
      <c r="A7" t="n">
        <v>2</v>
      </c>
      <c r="B7" s="26">
        <f>IF($A7=0,0,IF($A7&lt;=Calculation!C$20,Calculation!C$19,Calculation!C$21))</f>
        <v/>
      </c>
      <c r="C7" s="27">
        <f>Calculation!C$30*B7</f>
        <v/>
      </c>
      <c r="D7" s="27">
        <f>IF($A7=0,Calculation!C$32,Calculation!C$33/12)</f>
        <v/>
      </c>
      <c r="E7" s="27">
        <f>C7-D7</f>
        <v/>
      </c>
      <c r="F7" s="27">
        <f>F6+E7</f>
        <v/>
      </c>
      <c r="G7" s="27">
        <f>E7/(1+Calculation!C$22)^($A7/12)</f>
        <v/>
      </c>
      <c r="H7" s="28">
        <f>IF(AND(F7&gt;=0,F6&lt;0),$A7,"")</f>
        <v/>
      </c>
      <c r="I7" s="26">
        <f>IF($A7=0,0,IF($A7&lt;=Calculation!D$20,Calculation!D$19,Calculation!D$21))</f>
        <v/>
      </c>
      <c r="J7" s="27">
        <f>Calculation!D$30*I7</f>
        <v/>
      </c>
      <c r="K7" s="27">
        <f>IF($A7=0,Calculation!D$32,Calculation!D$33/12)</f>
        <v/>
      </c>
      <c r="L7" s="27">
        <f>J7-K7</f>
        <v/>
      </c>
      <c r="M7" s="27">
        <f>M6+L7</f>
        <v/>
      </c>
      <c r="N7" s="27">
        <f>L7/(1+Calculation!D$22)^($A7/12)</f>
        <v/>
      </c>
      <c r="O7" s="28">
        <f>IF(AND(M7&gt;=0,M6&lt;0),$A7,"")</f>
        <v/>
      </c>
      <c r="P7" s="26">
        <f>IF($A7=0,0,IF($A7&lt;=Calculation!E$20,Calculation!E$19,Calculation!E$21))</f>
        <v/>
      </c>
      <c r="Q7" s="27">
        <f>Calculation!E$30*P7</f>
        <v/>
      </c>
      <c r="R7" s="27">
        <f>IF($A7=0,Calculation!E$32,Calculation!E$33/12)</f>
        <v/>
      </c>
      <c r="S7" s="27">
        <f>Q7-R7</f>
        <v/>
      </c>
      <c r="T7" s="27">
        <f>T6+S7</f>
        <v/>
      </c>
      <c r="U7" s="27">
        <f>S7/(1+Calculation!E$22)^($A7/12)</f>
        <v/>
      </c>
      <c r="V7" s="28">
        <f>IF(AND(T7&gt;=0,T6&lt;0),$A7,"")</f>
        <v/>
      </c>
    </row>
    <row r="8">
      <c r="A8" t="n">
        <v>3</v>
      </c>
      <c r="B8" s="26">
        <f>IF($A8=0,0,IF($A8&lt;=Calculation!C$20,Calculation!C$19,Calculation!C$21))</f>
        <v/>
      </c>
      <c r="C8" s="27">
        <f>Calculation!C$30*B8</f>
        <v/>
      </c>
      <c r="D8" s="27">
        <f>IF($A8=0,Calculation!C$32,Calculation!C$33/12)</f>
        <v/>
      </c>
      <c r="E8" s="27">
        <f>C8-D8</f>
        <v/>
      </c>
      <c r="F8" s="27">
        <f>F7+E8</f>
        <v/>
      </c>
      <c r="G8" s="27">
        <f>E8/(1+Calculation!C$22)^($A8/12)</f>
        <v/>
      </c>
      <c r="H8" s="28">
        <f>IF(AND(F8&gt;=0,F7&lt;0),$A8,"")</f>
        <v/>
      </c>
      <c r="I8" s="26">
        <f>IF($A8=0,0,IF($A8&lt;=Calculation!D$20,Calculation!D$19,Calculation!D$21))</f>
        <v/>
      </c>
      <c r="J8" s="27">
        <f>Calculation!D$30*I8</f>
        <v/>
      </c>
      <c r="K8" s="27">
        <f>IF($A8=0,Calculation!D$32,Calculation!D$33/12)</f>
        <v/>
      </c>
      <c r="L8" s="27">
        <f>J8-K8</f>
        <v/>
      </c>
      <c r="M8" s="27">
        <f>M7+L8</f>
        <v/>
      </c>
      <c r="N8" s="27">
        <f>L8/(1+Calculation!D$22)^($A8/12)</f>
        <v/>
      </c>
      <c r="O8" s="28">
        <f>IF(AND(M8&gt;=0,M7&lt;0),$A8,"")</f>
        <v/>
      </c>
      <c r="P8" s="26">
        <f>IF($A8=0,0,IF($A8&lt;=Calculation!E$20,Calculation!E$19,Calculation!E$21))</f>
        <v/>
      </c>
      <c r="Q8" s="27">
        <f>Calculation!E$30*P8</f>
        <v/>
      </c>
      <c r="R8" s="27">
        <f>IF($A8=0,Calculation!E$32,Calculation!E$33/12)</f>
        <v/>
      </c>
      <c r="S8" s="27">
        <f>Q8-R8</f>
        <v/>
      </c>
      <c r="T8" s="27">
        <f>T7+S8</f>
        <v/>
      </c>
      <c r="U8" s="27">
        <f>S8/(1+Calculation!E$22)^($A8/12)</f>
        <v/>
      </c>
      <c r="V8" s="28">
        <f>IF(AND(T8&gt;=0,T7&lt;0),$A8,"")</f>
        <v/>
      </c>
    </row>
    <row r="9">
      <c r="A9" t="n">
        <v>4</v>
      </c>
      <c r="B9" s="26">
        <f>IF($A9=0,0,IF($A9&lt;=Calculation!C$20,Calculation!C$19,Calculation!C$21))</f>
        <v/>
      </c>
      <c r="C9" s="27">
        <f>Calculation!C$30*B9</f>
        <v/>
      </c>
      <c r="D9" s="27">
        <f>IF($A9=0,Calculation!C$32,Calculation!C$33/12)</f>
        <v/>
      </c>
      <c r="E9" s="27">
        <f>C9-D9</f>
        <v/>
      </c>
      <c r="F9" s="27">
        <f>F8+E9</f>
        <v/>
      </c>
      <c r="G9" s="27">
        <f>E9/(1+Calculation!C$22)^($A9/12)</f>
        <v/>
      </c>
      <c r="H9" s="28">
        <f>IF(AND(F9&gt;=0,F8&lt;0),$A9,"")</f>
        <v/>
      </c>
      <c r="I9" s="26">
        <f>IF($A9=0,0,IF($A9&lt;=Calculation!D$20,Calculation!D$19,Calculation!D$21))</f>
        <v/>
      </c>
      <c r="J9" s="27">
        <f>Calculation!D$30*I9</f>
        <v/>
      </c>
      <c r="K9" s="27">
        <f>IF($A9=0,Calculation!D$32,Calculation!D$33/12)</f>
        <v/>
      </c>
      <c r="L9" s="27">
        <f>J9-K9</f>
        <v/>
      </c>
      <c r="M9" s="27">
        <f>M8+L9</f>
        <v/>
      </c>
      <c r="N9" s="27">
        <f>L9/(1+Calculation!D$22)^($A9/12)</f>
        <v/>
      </c>
      <c r="O9" s="28">
        <f>IF(AND(M9&gt;=0,M8&lt;0),$A9,"")</f>
        <v/>
      </c>
      <c r="P9" s="26">
        <f>IF($A9=0,0,IF($A9&lt;=Calculation!E$20,Calculation!E$19,Calculation!E$21))</f>
        <v/>
      </c>
      <c r="Q9" s="27">
        <f>Calculation!E$30*P9</f>
        <v/>
      </c>
      <c r="R9" s="27">
        <f>IF($A9=0,Calculation!E$32,Calculation!E$33/12)</f>
        <v/>
      </c>
      <c r="S9" s="27">
        <f>Q9-R9</f>
        <v/>
      </c>
      <c r="T9" s="27">
        <f>T8+S9</f>
        <v/>
      </c>
      <c r="U9" s="27">
        <f>S9/(1+Calculation!E$22)^($A9/12)</f>
        <v/>
      </c>
      <c r="V9" s="28">
        <f>IF(AND(T9&gt;=0,T8&lt;0),$A9,"")</f>
        <v/>
      </c>
    </row>
    <row r="10">
      <c r="A10" t="n">
        <v>5</v>
      </c>
      <c r="B10" s="26">
        <f>IF($A10=0,0,IF($A10&lt;=Calculation!C$20,Calculation!C$19,Calculation!C$21))</f>
        <v/>
      </c>
      <c r="C10" s="27">
        <f>Calculation!C$30*B10</f>
        <v/>
      </c>
      <c r="D10" s="27">
        <f>IF($A10=0,Calculation!C$32,Calculation!C$33/12)</f>
        <v/>
      </c>
      <c r="E10" s="27">
        <f>C10-D10</f>
        <v/>
      </c>
      <c r="F10" s="27">
        <f>F9+E10</f>
        <v/>
      </c>
      <c r="G10" s="27">
        <f>E10/(1+Calculation!C$22)^($A10/12)</f>
        <v/>
      </c>
      <c r="H10" s="28">
        <f>IF(AND(F10&gt;=0,F9&lt;0),$A10,"")</f>
        <v/>
      </c>
      <c r="I10" s="26">
        <f>IF($A10=0,0,IF($A10&lt;=Calculation!D$20,Calculation!D$19,Calculation!D$21))</f>
        <v/>
      </c>
      <c r="J10" s="27">
        <f>Calculation!D$30*I10</f>
        <v/>
      </c>
      <c r="K10" s="27">
        <f>IF($A10=0,Calculation!D$32,Calculation!D$33/12)</f>
        <v/>
      </c>
      <c r="L10" s="27">
        <f>J10-K10</f>
        <v/>
      </c>
      <c r="M10" s="27">
        <f>M9+L10</f>
        <v/>
      </c>
      <c r="N10" s="27">
        <f>L10/(1+Calculation!D$22)^($A10/12)</f>
        <v/>
      </c>
      <c r="O10" s="28">
        <f>IF(AND(M10&gt;=0,M9&lt;0),$A10,"")</f>
        <v/>
      </c>
      <c r="P10" s="26">
        <f>IF($A10=0,0,IF($A10&lt;=Calculation!E$20,Calculation!E$19,Calculation!E$21))</f>
        <v/>
      </c>
      <c r="Q10" s="27">
        <f>Calculation!E$30*P10</f>
        <v/>
      </c>
      <c r="R10" s="27">
        <f>IF($A10=0,Calculation!E$32,Calculation!E$33/12)</f>
        <v/>
      </c>
      <c r="S10" s="27">
        <f>Q10-R10</f>
        <v/>
      </c>
      <c r="T10" s="27">
        <f>T9+S10</f>
        <v/>
      </c>
      <c r="U10" s="27">
        <f>S10/(1+Calculation!E$22)^($A10/12)</f>
        <v/>
      </c>
      <c r="V10" s="28">
        <f>IF(AND(T10&gt;=0,T9&lt;0),$A10,"")</f>
        <v/>
      </c>
    </row>
    <row r="11">
      <c r="A11" t="n">
        <v>6</v>
      </c>
      <c r="B11" s="26">
        <f>IF($A11=0,0,IF($A11&lt;=Calculation!C$20,Calculation!C$19,Calculation!C$21))</f>
        <v/>
      </c>
      <c r="C11" s="27">
        <f>Calculation!C$30*B11</f>
        <v/>
      </c>
      <c r="D11" s="27">
        <f>IF($A11=0,Calculation!C$32,Calculation!C$33/12)</f>
        <v/>
      </c>
      <c r="E11" s="27">
        <f>C11-D11</f>
        <v/>
      </c>
      <c r="F11" s="27">
        <f>F10+E11</f>
        <v/>
      </c>
      <c r="G11" s="27">
        <f>E11/(1+Calculation!C$22)^($A11/12)</f>
        <v/>
      </c>
      <c r="H11" s="28">
        <f>IF(AND(F11&gt;=0,F10&lt;0),$A11,"")</f>
        <v/>
      </c>
      <c r="I11" s="26">
        <f>IF($A11=0,0,IF($A11&lt;=Calculation!D$20,Calculation!D$19,Calculation!D$21))</f>
        <v/>
      </c>
      <c r="J11" s="27">
        <f>Calculation!D$30*I11</f>
        <v/>
      </c>
      <c r="K11" s="27">
        <f>IF($A11=0,Calculation!D$32,Calculation!D$33/12)</f>
        <v/>
      </c>
      <c r="L11" s="27">
        <f>J11-K11</f>
        <v/>
      </c>
      <c r="M11" s="27">
        <f>M10+L11</f>
        <v/>
      </c>
      <c r="N11" s="27">
        <f>L11/(1+Calculation!D$22)^($A11/12)</f>
        <v/>
      </c>
      <c r="O11" s="28">
        <f>IF(AND(M11&gt;=0,M10&lt;0),$A11,"")</f>
        <v/>
      </c>
      <c r="P11" s="26">
        <f>IF($A11=0,0,IF($A11&lt;=Calculation!E$20,Calculation!E$19,Calculation!E$21))</f>
        <v/>
      </c>
      <c r="Q11" s="27">
        <f>Calculation!E$30*P11</f>
        <v/>
      </c>
      <c r="R11" s="27">
        <f>IF($A11=0,Calculation!E$32,Calculation!E$33/12)</f>
        <v/>
      </c>
      <c r="S11" s="27">
        <f>Q11-R11</f>
        <v/>
      </c>
      <c r="T11" s="27">
        <f>T10+S11</f>
        <v/>
      </c>
      <c r="U11" s="27">
        <f>S11/(1+Calculation!E$22)^($A11/12)</f>
        <v/>
      </c>
      <c r="V11" s="28">
        <f>IF(AND(T11&gt;=0,T10&lt;0),$A11,"")</f>
        <v/>
      </c>
    </row>
    <row r="12">
      <c r="A12" t="n">
        <v>7</v>
      </c>
      <c r="B12" s="26">
        <f>IF($A12=0,0,IF($A12&lt;=Calculation!C$20,Calculation!C$19,Calculation!C$21))</f>
        <v/>
      </c>
      <c r="C12" s="27">
        <f>Calculation!C$30*B12</f>
        <v/>
      </c>
      <c r="D12" s="27">
        <f>IF($A12=0,Calculation!C$32,Calculation!C$33/12)</f>
        <v/>
      </c>
      <c r="E12" s="27">
        <f>C12-D12</f>
        <v/>
      </c>
      <c r="F12" s="27">
        <f>F11+E12</f>
        <v/>
      </c>
      <c r="G12" s="27">
        <f>E12/(1+Calculation!C$22)^($A12/12)</f>
        <v/>
      </c>
      <c r="H12" s="28">
        <f>IF(AND(F12&gt;=0,F11&lt;0),$A12,"")</f>
        <v/>
      </c>
      <c r="I12" s="26">
        <f>IF($A12=0,0,IF($A12&lt;=Calculation!D$20,Calculation!D$19,Calculation!D$21))</f>
        <v/>
      </c>
      <c r="J12" s="27">
        <f>Calculation!D$30*I12</f>
        <v/>
      </c>
      <c r="K12" s="27">
        <f>IF($A12=0,Calculation!D$32,Calculation!D$33/12)</f>
        <v/>
      </c>
      <c r="L12" s="27">
        <f>J12-K12</f>
        <v/>
      </c>
      <c r="M12" s="27">
        <f>M11+L12</f>
        <v/>
      </c>
      <c r="N12" s="27">
        <f>L12/(1+Calculation!D$22)^($A12/12)</f>
        <v/>
      </c>
      <c r="O12" s="28">
        <f>IF(AND(M12&gt;=0,M11&lt;0),$A12,"")</f>
        <v/>
      </c>
      <c r="P12" s="26">
        <f>IF($A12=0,0,IF($A12&lt;=Calculation!E$20,Calculation!E$19,Calculation!E$21))</f>
        <v/>
      </c>
      <c r="Q12" s="27">
        <f>Calculation!E$30*P12</f>
        <v/>
      </c>
      <c r="R12" s="27">
        <f>IF($A12=0,Calculation!E$32,Calculation!E$33/12)</f>
        <v/>
      </c>
      <c r="S12" s="27">
        <f>Q12-R12</f>
        <v/>
      </c>
      <c r="T12" s="27">
        <f>T11+S12</f>
        <v/>
      </c>
      <c r="U12" s="27">
        <f>S12/(1+Calculation!E$22)^($A12/12)</f>
        <v/>
      </c>
      <c r="V12" s="28">
        <f>IF(AND(T12&gt;=0,T11&lt;0),$A12,"")</f>
        <v/>
      </c>
    </row>
    <row r="13">
      <c r="A13" t="n">
        <v>8</v>
      </c>
      <c r="B13" s="26">
        <f>IF($A13=0,0,IF($A13&lt;=Calculation!C$20,Calculation!C$19,Calculation!C$21))</f>
        <v/>
      </c>
      <c r="C13" s="27">
        <f>Calculation!C$30*B13</f>
        <v/>
      </c>
      <c r="D13" s="27">
        <f>IF($A13=0,Calculation!C$32,Calculation!C$33/12)</f>
        <v/>
      </c>
      <c r="E13" s="27">
        <f>C13-D13</f>
        <v/>
      </c>
      <c r="F13" s="27">
        <f>F12+E13</f>
        <v/>
      </c>
      <c r="G13" s="27">
        <f>E13/(1+Calculation!C$22)^($A13/12)</f>
        <v/>
      </c>
      <c r="H13" s="28">
        <f>IF(AND(F13&gt;=0,F12&lt;0),$A13,"")</f>
        <v/>
      </c>
      <c r="I13" s="26">
        <f>IF($A13=0,0,IF($A13&lt;=Calculation!D$20,Calculation!D$19,Calculation!D$21))</f>
        <v/>
      </c>
      <c r="J13" s="27">
        <f>Calculation!D$30*I13</f>
        <v/>
      </c>
      <c r="K13" s="27">
        <f>IF($A13=0,Calculation!D$32,Calculation!D$33/12)</f>
        <v/>
      </c>
      <c r="L13" s="27">
        <f>J13-K13</f>
        <v/>
      </c>
      <c r="M13" s="27">
        <f>M12+L13</f>
        <v/>
      </c>
      <c r="N13" s="27">
        <f>L13/(1+Calculation!D$22)^($A13/12)</f>
        <v/>
      </c>
      <c r="O13" s="28">
        <f>IF(AND(M13&gt;=0,M12&lt;0),$A13,"")</f>
        <v/>
      </c>
      <c r="P13" s="26">
        <f>IF($A13=0,0,IF($A13&lt;=Calculation!E$20,Calculation!E$19,Calculation!E$21))</f>
        <v/>
      </c>
      <c r="Q13" s="27">
        <f>Calculation!E$30*P13</f>
        <v/>
      </c>
      <c r="R13" s="27">
        <f>IF($A13=0,Calculation!E$32,Calculation!E$33/12)</f>
        <v/>
      </c>
      <c r="S13" s="27">
        <f>Q13-R13</f>
        <v/>
      </c>
      <c r="T13" s="27">
        <f>T12+S13</f>
        <v/>
      </c>
      <c r="U13" s="27">
        <f>S13/(1+Calculation!E$22)^($A13/12)</f>
        <v/>
      </c>
      <c r="V13" s="28">
        <f>IF(AND(T13&gt;=0,T12&lt;0),$A13,"")</f>
        <v/>
      </c>
    </row>
    <row r="14">
      <c r="A14" t="n">
        <v>9</v>
      </c>
      <c r="B14" s="26">
        <f>IF($A14=0,0,IF($A14&lt;=Calculation!C$20,Calculation!C$19,Calculation!C$21))</f>
        <v/>
      </c>
      <c r="C14" s="27">
        <f>Calculation!C$30*B14</f>
        <v/>
      </c>
      <c r="D14" s="27">
        <f>IF($A14=0,Calculation!C$32,Calculation!C$33/12)</f>
        <v/>
      </c>
      <c r="E14" s="27">
        <f>C14-D14</f>
        <v/>
      </c>
      <c r="F14" s="27">
        <f>F13+E14</f>
        <v/>
      </c>
      <c r="G14" s="27">
        <f>E14/(1+Calculation!C$22)^($A14/12)</f>
        <v/>
      </c>
      <c r="H14" s="28">
        <f>IF(AND(F14&gt;=0,F13&lt;0),$A14,"")</f>
        <v/>
      </c>
      <c r="I14" s="26">
        <f>IF($A14=0,0,IF($A14&lt;=Calculation!D$20,Calculation!D$19,Calculation!D$21))</f>
        <v/>
      </c>
      <c r="J14" s="27">
        <f>Calculation!D$30*I14</f>
        <v/>
      </c>
      <c r="K14" s="27">
        <f>IF($A14=0,Calculation!D$32,Calculation!D$33/12)</f>
        <v/>
      </c>
      <c r="L14" s="27">
        <f>J14-K14</f>
        <v/>
      </c>
      <c r="M14" s="27">
        <f>M13+L14</f>
        <v/>
      </c>
      <c r="N14" s="27">
        <f>L14/(1+Calculation!D$22)^($A14/12)</f>
        <v/>
      </c>
      <c r="O14" s="28">
        <f>IF(AND(M14&gt;=0,M13&lt;0),$A14,"")</f>
        <v/>
      </c>
      <c r="P14" s="26">
        <f>IF($A14=0,0,IF($A14&lt;=Calculation!E$20,Calculation!E$19,Calculation!E$21))</f>
        <v/>
      </c>
      <c r="Q14" s="27">
        <f>Calculation!E$30*P14</f>
        <v/>
      </c>
      <c r="R14" s="27">
        <f>IF($A14=0,Calculation!E$32,Calculation!E$33/12)</f>
        <v/>
      </c>
      <c r="S14" s="27">
        <f>Q14-R14</f>
        <v/>
      </c>
      <c r="T14" s="27">
        <f>T13+S14</f>
        <v/>
      </c>
      <c r="U14" s="27">
        <f>S14/(1+Calculation!E$22)^($A14/12)</f>
        <v/>
      </c>
      <c r="V14" s="28">
        <f>IF(AND(T14&gt;=0,T13&lt;0),$A14,"")</f>
        <v/>
      </c>
    </row>
    <row r="15">
      <c r="A15" t="n">
        <v>10</v>
      </c>
      <c r="B15" s="26">
        <f>IF($A15=0,0,IF($A15&lt;=Calculation!C$20,Calculation!C$19,Calculation!C$21))</f>
        <v/>
      </c>
      <c r="C15" s="27">
        <f>Calculation!C$30*B15</f>
        <v/>
      </c>
      <c r="D15" s="27">
        <f>IF($A15=0,Calculation!C$32,Calculation!C$33/12)</f>
        <v/>
      </c>
      <c r="E15" s="27">
        <f>C15-D15</f>
        <v/>
      </c>
      <c r="F15" s="27">
        <f>F14+E15</f>
        <v/>
      </c>
      <c r="G15" s="27">
        <f>E15/(1+Calculation!C$22)^($A15/12)</f>
        <v/>
      </c>
      <c r="H15" s="28">
        <f>IF(AND(F15&gt;=0,F14&lt;0),$A15,"")</f>
        <v/>
      </c>
      <c r="I15" s="26">
        <f>IF($A15=0,0,IF($A15&lt;=Calculation!D$20,Calculation!D$19,Calculation!D$21))</f>
        <v/>
      </c>
      <c r="J15" s="27">
        <f>Calculation!D$30*I15</f>
        <v/>
      </c>
      <c r="K15" s="27">
        <f>IF($A15=0,Calculation!D$32,Calculation!D$33/12)</f>
        <v/>
      </c>
      <c r="L15" s="27">
        <f>J15-K15</f>
        <v/>
      </c>
      <c r="M15" s="27">
        <f>M14+L15</f>
        <v/>
      </c>
      <c r="N15" s="27">
        <f>L15/(1+Calculation!D$22)^($A15/12)</f>
        <v/>
      </c>
      <c r="O15" s="28">
        <f>IF(AND(M15&gt;=0,M14&lt;0),$A15,"")</f>
        <v/>
      </c>
      <c r="P15" s="26">
        <f>IF($A15=0,0,IF($A15&lt;=Calculation!E$20,Calculation!E$19,Calculation!E$21))</f>
        <v/>
      </c>
      <c r="Q15" s="27">
        <f>Calculation!E$30*P15</f>
        <v/>
      </c>
      <c r="R15" s="27">
        <f>IF($A15=0,Calculation!E$32,Calculation!E$33/12)</f>
        <v/>
      </c>
      <c r="S15" s="27">
        <f>Q15-R15</f>
        <v/>
      </c>
      <c r="T15" s="27">
        <f>T14+S15</f>
        <v/>
      </c>
      <c r="U15" s="27">
        <f>S15/(1+Calculation!E$22)^($A15/12)</f>
        <v/>
      </c>
      <c r="V15" s="28">
        <f>IF(AND(T15&gt;=0,T14&lt;0),$A15,"")</f>
        <v/>
      </c>
    </row>
    <row r="16">
      <c r="A16" t="n">
        <v>11</v>
      </c>
      <c r="B16" s="26">
        <f>IF($A16=0,0,IF($A16&lt;=Calculation!C$20,Calculation!C$19,Calculation!C$21))</f>
        <v/>
      </c>
      <c r="C16" s="27">
        <f>Calculation!C$30*B16</f>
        <v/>
      </c>
      <c r="D16" s="27">
        <f>IF($A16=0,Calculation!C$32,Calculation!C$33/12)</f>
        <v/>
      </c>
      <c r="E16" s="27">
        <f>C16-D16</f>
        <v/>
      </c>
      <c r="F16" s="27">
        <f>F15+E16</f>
        <v/>
      </c>
      <c r="G16" s="27">
        <f>E16/(1+Calculation!C$22)^($A16/12)</f>
        <v/>
      </c>
      <c r="H16" s="28">
        <f>IF(AND(F16&gt;=0,F15&lt;0),$A16,"")</f>
        <v/>
      </c>
      <c r="I16" s="26">
        <f>IF($A16=0,0,IF($A16&lt;=Calculation!D$20,Calculation!D$19,Calculation!D$21))</f>
        <v/>
      </c>
      <c r="J16" s="27">
        <f>Calculation!D$30*I16</f>
        <v/>
      </c>
      <c r="K16" s="27">
        <f>IF($A16=0,Calculation!D$32,Calculation!D$33/12)</f>
        <v/>
      </c>
      <c r="L16" s="27">
        <f>J16-K16</f>
        <v/>
      </c>
      <c r="M16" s="27">
        <f>M15+L16</f>
        <v/>
      </c>
      <c r="N16" s="27">
        <f>L16/(1+Calculation!D$22)^($A16/12)</f>
        <v/>
      </c>
      <c r="O16" s="28">
        <f>IF(AND(M16&gt;=0,M15&lt;0),$A16,"")</f>
        <v/>
      </c>
      <c r="P16" s="26">
        <f>IF($A16=0,0,IF($A16&lt;=Calculation!E$20,Calculation!E$19,Calculation!E$21))</f>
        <v/>
      </c>
      <c r="Q16" s="27">
        <f>Calculation!E$30*P16</f>
        <v/>
      </c>
      <c r="R16" s="27">
        <f>IF($A16=0,Calculation!E$32,Calculation!E$33/12)</f>
        <v/>
      </c>
      <c r="S16" s="27">
        <f>Q16-R16</f>
        <v/>
      </c>
      <c r="T16" s="27">
        <f>T15+S16</f>
        <v/>
      </c>
      <c r="U16" s="27">
        <f>S16/(1+Calculation!E$22)^($A16/12)</f>
        <v/>
      </c>
      <c r="V16" s="28">
        <f>IF(AND(T16&gt;=0,T15&lt;0),$A16,"")</f>
        <v/>
      </c>
    </row>
    <row r="17">
      <c r="A17" t="n">
        <v>12</v>
      </c>
      <c r="B17" s="26">
        <f>IF($A17=0,0,IF($A17&lt;=Calculation!C$20,Calculation!C$19,Calculation!C$21))</f>
        <v/>
      </c>
      <c r="C17" s="27">
        <f>Calculation!C$30*B17</f>
        <v/>
      </c>
      <c r="D17" s="27">
        <f>IF($A17=0,Calculation!C$32,Calculation!C$33/12)</f>
        <v/>
      </c>
      <c r="E17" s="27">
        <f>C17-D17</f>
        <v/>
      </c>
      <c r="F17" s="27">
        <f>F16+E17</f>
        <v/>
      </c>
      <c r="G17" s="27">
        <f>E17/(1+Calculation!C$22)^($A17/12)</f>
        <v/>
      </c>
      <c r="H17" s="28">
        <f>IF(AND(F17&gt;=0,F16&lt;0),$A17,"")</f>
        <v/>
      </c>
      <c r="I17" s="26">
        <f>IF($A17=0,0,IF($A17&lt;=Calculation!D$20,Calculation!D$19,Calculation!D$21))</f>
        <v/>
      </c>
      <c r="J17" s="27">
        <f>Calculation!D$30*I17</f>
        <v/>
      </c>
      <c r="K17" s="27">
        <f>IF($A17=0,Calculation!D$32,Calculation!D$33/12)</f>
        <v/>
      </c>
      <c r="L17" s="27">
        <f>J17-K17</f>
        <v/>
      </c>
      <c r="M17" s="27">
        <f>M16+L17</f>
        <v/>
      </c>
      <c r="N17" s="27">
        <f>L17/(1+Calculation!D$22)^($A17/12)</f>
        <v/>
      </c>
      <c r="O17" s="28">
        <f>IF(AND(M17&gt;=0,M16&lt;0),$A17,"")</f>
        <v/>
      </c>
      <c r="P17" s="26">
        <f>IF($A17=0,0,IF($A17&lt;=Calculation!E$20,Calculation!E$19,Calculation!E$21))</f>
        <v/>
      </c>
      <c r="Q17" s="27">
        <f>Calculation!E$30*P17</f>
        <v/>
      </c>
      <c r="R17" s="27">
        <f>IF($A17=0,Calculation!E$32,Calculation!E$33/12)</f>
        <v/>
      </c>
      <c r="S17" s="27">
        <f>Q17-R17</f>
        <v/>
      </c>
      <c r="T17" s="27">
        <f>T16+S17</f>
        <v/>
      </c>
      <c r="U17" s="27">
        <f>S17/(1+Calculation!E$22)^($A17/12)</f>
        <v/>
      </c>
      <c r="V17" s="28">
        <f>IF(AND(T17&gt;=0,T16&lt;0),$A17,"")</f>
        <v/>
      </c>
    </row>
    <row r="18">
      <c r="A18" t="n">
        <v>13</v>
      </c>
      <c r="B18" s="26">
        <f>IF($A18=0,0,IF($A18&lt;=Calculation!C$20,Calculation!C$19,Calculation!C$21))</f>
        <v/>
      </c>
      <c r="C18" s="27">
        <f>Calculation!C$30*B18</f>
        <v/>
      </c>
      <c r="D18" s="27">
        <f>IF($A18=0,Calculation!C$32,Calculation!C$33/12)</f>
        <v/>
      </c>
      <c r="E18" s="27">
        <f>C18-D18</f>
        <v/>
      </c>
      <c r="F18" s="27">
        <f>F17+E18</f>
        <v/>
      </c>
      <c r="G18" s="27">
        <f>E18/(1+Calculation!C$22)^($A18/12)</f>
        <v/>
      </c>
      <c r="H18" s="28">
        <f>IF(AND(F18&gt;=0,F17&lt;0),$A18,"")</f>
        <v/>
      </c>
      <c r="I18" s="26">
        <f>IF($A18=0,0,IF($A18&lt;=Calculation!D$20,Calculation!D$19,Calculation!D$21))</f>
        <v/>
      </c>
      <c r="J18" s="27">
        <f>Calculation!D$30*I18</f>
        <v/>
      </c>
      <c r="K18" s="27">
        <f>IF($A18=0,Calculation!D$32,Calculation!D$33/12)</f>
        <v/>
      </c>
      <c r="L18" s="27">
        <f>J18-K18</f>
        <v/>
      </c>
      <c r="M18" s="27">
        <f>M17+L18</f>
        <v/>
      </c>
      <c r="N18" s="27">
        <f>L18/(1+Calculation!D$22)^($A18/12)</f>
        <v/>
      </c>
      <c r="O18" s="28">
        <f>IF(AND(M18&gt;=0,M17&lt;0),$A18,"")</f>
        <v/>
      </c>
      <c r="P18" s="26">
        <f>IF($A18=0,0,IF($A18&lt;=Calculation!E$20,Calculation!E$19,Calculation!E$21))</f>
        <v/>
      </c>
      <c r="Q18" s="27">
        <f>Calculation!E$30*P18</f>
        <v/>
      </c>
      <c r="R18" s="27">
        <f>IF($A18=0,Calculation!E$32,Calculation!E$33/12)</f>
        <v/>
      </c>
      <c r="S18" s="27">
        <f>Q18-R18</f>
        <v/>
      </c>
      <c r="T18" s="27">
        <f>T17+S18</f>
        <v/>
      </c>
      <c r="U18" s="27">
        <f>S18/(1+Calculation!E$22)^($A18/12)</f>
        <v/>
      </c>
      <c r="V18" s="28">
        <f>IF(AND(T18&gt;=0,T17&lt;0),$A18,"")</f>
        <v/>
      </c>
    </row>
    <row r="19">
      <c r="A19" t="n">
        <v>14</v>
      </c>
      <c r="B19" s="26">
        <f>IF($A19=0,0,IF($A19&lt;=Calculation!C$20,Calculation!C$19,Calculation!C$21))</f>
        <v/>
      </c>
      <c r="C19" s="27">
        <f>Calculation!C$30*B19</f>
        <v/>
      </c>
      <c r="D19" s="27">
        <f>IF($A19=0,Calculation!C$32,Calculation!C$33/12)</f>
        <v/>
      </c>
      <c r="E19" s="27">
        <f>C19-D19</f>
        <v/>
      </c>
      <c r="F19" s="27">
        <f>F18+E19</f>
        <v/>
      </c>
      <c r="G19" s="27">
        <f>E19/(1+Calculation!C$22)^($A19/12)</f>
        <v/>
      </c>
      <c r="H19" s="28">
        <f>IF(AND(F19&gt;=0,F18&lt;0),$A19,"")</f>
        <v/>
      </c>
      <c r="I19" s="26">
        <f>IF($A19=0,0,IF($A19&lt;=Calculation!D$20,Calculation!D$19,Calculation!D$21))</f>
        <v/>
      </c>
      <c r="J19" s="27">
        <f>Calculation!D$30*I19</f>
        <v/>
      </c>
      <c r="K19" s="27">
        <f>IF($A19=0,Calculation!D$32,Calculation!D$33/12)</f>
        <v/>
      </c>
      <c r="L19" s="27">
        <f>J19-K19</f>
        <v/>
      </c>
      <c r="M19" s="27">
        <f>M18+L19</f>
        <v/>
      </c>
      <c r="N19" s="27">
        <f>L19/(1+Calculation!D$22)^($A19/12)</f>
        <v/>
      </c>
      <c r="O19" s="28">
        <f>IF(AND(M19&gt;=0,M18&lt;0),$A19,"")</f>
        <v/>
      </c>
      <c r="P19" s="26">
        <f>IF($A19=0,0,IF($A19&lt;=Calculation!E$20,Calculation!E$19,Calculation!E$21))</f>
        <v/>
      </c>
      <c r="Q19" s="27">
        <f>Calculation!E$30*P19</f>
        <v/>
      </c>
      <c r="R19" s="27">
        <f>IF($A19=0,Calculation!E$32,Calculation!E$33/12)</f>
        <v/>
      </c>
      <c r="S19" s="27">
        <f>Q19-R19</f>
        <v/>
      </c>
      <c r="T19" s="27">
        <f>T18+S19</f>
        <v/>
      </c>
      <c r="U19" s="27">
        <f>S19/(1+Calculation!E$22)^($A19/12)</f>
        <v/>
      </c>
      <c r="V19" s="28">
        <f>IF(AND(T19&gt;=0,T18&lt;0),$A19,"")</f>
        <v/>
      </c>
    </row>
    <row r="20">
      <c r="A20" t="n">
        <v>15</v>
      </c>
      <c r="B20" s="26">
        <f>IF($A20=0,0,IF($A20&lt;=Calculation!C$20,Calculation!C$19,Calculation!C$21))</f>
        <v/>
      </c>
      <c r="C20" s="27">
        <f>Calculation!C$30*B20</f>
        <v/>
      </c>
      <c r="D20" s="27">
        <f>IF($A20=0,Calculation!C$32,Calculation!C$33/12)</f>
        <v/>
      </c>
      <c r="E20" s="27">
        <f>C20-D20</f>
        <v/>
      </c>
      <c r="F20" s="27">
        <f>F19+E20</f>
        <v/>
      </c>
      <c r="G20" s="27">
        <f>E20/(1+Calculation!C$22)^($A20/12)</f>
        <v/>
      </c>
      <c r="H20" s="28">
        <f>IF(AND(F20&gt;=0,F19&lt;0),$A20,"")</f>
        <v/>
      </c>
      <c r="I20" s="26">
        <f>IF($A20=0,0,IF($A20&lt;=Calculation!D$20,Calculation!D$19,Calculation!D$21))</f>
        <v/>
      </c>
      <c r="J20" s="27">
        <f>Calculation!D$30*I20</f>
        <v/>
      </c>
      <c r="K20" s="27">
        <f>IF($A20=0,Calculation!D$32,Calculation!D$33/12)</f>
        <v/>
      </c>
      <c r="L20" s="27">
        <f>J20-K20</f>
        <v/>
      </c>
      <c r="M20" s="27">
        <f>M19+L20</f>
        <v/>
      </c>
      <c r="N20" s="27">
        <f>L20/(1+Calculation!D$22)^($A20/12)</f>
        <v/>
      </c>
      <c r="O20" s="28">
        <f>IF(AND(M20&gt;=0,M19&lt;0),$A20,"")</f>
        <v/>
      </c>
      <c r="P20" s="26">
        <f>IF($A20=0,0,IF($A20&lt;=Calculation!E$20,Calculation!E$19,Calculation!E$21))</f>
        <v/>
      </c>
      <c r="Q20" s="27">
        <f>Calculation!E$30*P20</f>
        <v/>
      </c>
      <c r="R20" s="27">
        <f>IF($A20=0,Calculation!E$32,Calculation!E$33/12)</f>
        <v/>
      </c>
      <c r="S20" s="27">
        <f>Q20-R20</f>
        <v/>
      </c>
      <c r="T20" s="27">
        <f>T19+S20</f>
        <v/>
      </c>
      <c r="U20" s="27">
        <f>S20/(1+Calculation!E$22)^($A20/12)</f>
        <v/>
      </c>
      <c r="V20" s="28">
        <f>IF(AND(T20&gt;=0,T19&lt;0),$A20,"")</f>
        <v/>
      </c>
    </row>
    <row r="21">
      <c r="A21" t="n">
        <v>16</v>
      </c>
      <c r="B21" s="26">
        <f>IF($A21=0,0,IF($A21&lt;=Calculation!C$20,Calculation!C$19,Calculation!C$21))</f>
        <v/>
      </c>
      <c r="C21" s="27">
        <f>Calculation!C$30*B21</f>
        <v/>
      </c>
      <c r="D21" s="27">
        <f>IF($A21=0,Calculation!C$32,Calculation!C$33/12)</f>
        <v/>
      </c>
      <c r="E21" s="27">
        <f>C21-D21</f>
        <v/>
      </c>
      <c r="F21" s="27">
        <f>F20+E21</f>
        <v/>
      </c>
      <c r="G21" s="27">
        <f>E21/(1+Calculation!C$22)^($A21/12)</f>
        <v/>
      </c>
      <c r="H21" s="28">
        <f>IF(AND(F21&gt;=0,F20&lt;0),$A21,"")</f>
        <v/>
      </c>
      <c r="I21" s="26">
        <f>IF($A21=0,0,IF($A21&lt;=Calculation!D$20,Calculation!D$19,Calculation!D$21))</f>
        <v/>
      </c>
      <c r="J21" s="27">
        <f>Calculation!D$30*I21</f>
        <v/>
      </c>
      <c r="K21" s="27">
        <f>IF($A21=0,Calculation!D$32,Calculation!D$33/12)</f>
        <v/>
      </c>
      <c r="L21" s="27">
        <f>J21-K21</f>
        <v/>
      </c>
      <c r="M21" s="27">
        <f>M20+L21</f>
        <v/>
      </c>
      <c r="N21" s="27">
        <f>L21/(1+Calculation!D$22)^($A21/12)</f>
        <v/>
      </c>
      <c r="O21" s="28">
        <f>IF(AND(M21&gt;=0,M20&lt;0),$A21,"")</f>
        <v/>
      </c>
      <c r="P21" s="26">
        <f>IF($A21=0,0,IF($A21&lt;=Calculation!E$20,Calculation!E$19,Calculation!E$21))</f>
        <v/>
      </c>
      <c r="Q21" s="27">
        <f>Calculation!E$30*P21</f>
        <v/>
      </c>
      <c r="R21" s="27">
        <f>IF($A21=0,Calculation!E$32,Calculation!E$33/12)</f>
        <v/>
      </c>
      <c r="S21" s="27">
        <f>Q21-R21</f>
        <v/>
      </c>
      <c r="T21" s="27">
        <f>T20+S21</f>
        <v/>
      </c>
      <c r="U21" s="27">
        <f>S21/(1+Calculation!E$22)^($A21/12)</f>
        <v/>
      </c>
      <c r="V21" s="28">
        <f>IF(AND(T21&gt;=0,T20&lt;0),$A21,"")</f>
        <v/>
      </c>
    </row>
    <row r="22">
      <c r="A22" t="n">
        <v>17</v>
      </c>
      <c r="B22" s="26">
        <f>IF($A22=0,0,IF($A22&lt;=Calculation!C$20,Calculation!C$19,Calculation!C$21))</f>
        <v/>
      </c>
      <c r="C22" s="27">
        <f>Calculation!C$30*B22</f>
        <v/>
      </c>
      <c r="D22" s="27">
        <f>IF($A22=0,Calculation!C$32,Calculation!C$33/12)</f>
        <v/>
      </c>
      <c r="E22" s="27">
        <f>C22-D22</f>
        <v/>
      </c>
      <c r="F22" s="27">
        <f>F21+E22</f>
        <v/>
      </c>
      <c r="G22" s="27">
        <f>E22/(1+Calculation!C$22)^($A22/12)</f>
        <v/>
      </c>
      <c r="H22" s="28">
        <f>IF(AND(F22&gt;=0,F21&lt;0),$A22,"")</f>
        <v/>
      </c>
      <c r="I22" s="26">
        <f>IF($A22=0,0,IF($A22&lt;=Calculation!D$20,Calculation!D$19,Calculation!D$21))</f>
        <v/>
      </c>
      <c r="J22" s="27">
        <f>Calculation!D$30*I22</f>
        <v/>
      </c>
      <c r="K22" s="27">
        <f>IF($A22=0,Calculation!D$32,Calculation!D$33/12)</f>
        <v/>
      </c>
      <c r="L22" s="27">
        <f>J22-K22</f>
        <v/>
      </c>
      <c r="M22" s="27">
        <f>M21+L22</f>
        <v/>
      </c>
      <c r="N22" s="27">
        <f>L22/(1+Calculation!D$22)^($A22/12)</f>
        <v/>
      </c>
      <c r="O22" s="28">
        <f>IF(AND(M22&gt;=0,M21&lt;0),$A22,"")</f>
        <v/>
      </c>
      <c r="P22" s="26">
        <f>IF($A22=0,0,IF($A22&lt;=Calculation!E$20,Calculation!E$19,Calculation!E$21))</f>
        <v/>
      </c>
      <c r="Q22" s="27">
        <f>Calculation!E$30*P22</f>
        <v/>
      </c>
      <c r="R22" s="27">
        <f>IF($A22=0,Calculation!E$32,Calculation!E$33/12)</f>
        <v/>
      </c>
      <c r="S22" s="27">
        <f>Q22-R22</f>
        <v/>
      </c>
      <c r="T22" s="27">
        <f>T21+S22</f>
        <v/>
      </c>
      <c r="U22" s="27">
        <f>S22/(1+Calculation!E$22)^($A22/12)</f>
        <v/>
      </c>
      <c r="V22" s="28">
        <f>IF(AND(T22&gt;=0,T21&lt;0),$A22,"")</f>
        <v/>
      </c>
    </row>
    <row r="23">
      <c r="A23" t="n">
        <v>18</v>
      </c>
      <c r="B23" s="26">
        <f>IF($A23=0,0,IF($A23&lt;=Calculation!C$20,Calculation!C$19,Calculation!C$21))</f>
        <v/>
      </c>
      <c r="C23" s="27">
        <f>Calculation!C$30*B23</f>
        <v/>
      </c>
      <c r="D23" s="27">
        <f>IF($A23=0,Calculation!C$32,Calculation!C$33/12)</f>
        <v/>
      </c>
      <c r="E23" s="27">
        <f>C23-D23</f>
        <v/>
      </c>
      <c r="F23" s="27">
        <f>F22+E23</f>
        <v/>
      </c>
      <c r="G23" s="27">
        <f>E23/(1+Calculation!C$22)^($A23/12)</f>
        <v/>
      </c>
      <c r="H23" s="28">
        <f>IF(AND(F23&gt;=0,F22&lt;0),$A23,"")</f>
        <v/>
      </c>
      <c r="I23" s="26">
        <f>IF($A23=0,0,IF($A23&lt;=Calculation!D$20,Calculation!D$19,Calculation!D$21))</f>
        <v/>
      </c>
      <c r="J23" s="27">
        <f>Calculation!D$30*I23</f>
        <v/>
      </c>
      <c r="K23" s="27">
        <f>IF($A23=0,Calculation!D$32,Calculation!D$33/12)</f>
        <v/>
      </c>
      <c r="L23" s="27">
        <f>J23-K23</f>
        <v/>
      </c>
      <c r="M23" s="27">
        <f>M22+L23</f>
        <v/>
      </c>
      <c r="N23" s="27">
        <f>L23/(1+Calculation!D$22)^($A23/12)</f>
        <v/>
      </c>
      <c r="O23" s="28">
        <f>IF(AND(M23&gt;=0,M22&lt;0),$A23,"")</f>
        <v/>
      </c>
      <c r="P23" s="26">
        <f>IF($A23=0,0,IF($A23&lt;=Calculation!E$20,Calculation!E$19,Calculation!E$21))</f>
        <v/>
      </c>
      <c r="Q23" s="27">
        <f>Calculation!E$30*P23</f>
        <v/>
      </c>
      <c r="R23" s="27">
        <f>IF($A23=0,Calculation!E$32,Calculation!E$33/12)</f>
        <v/>
      </c>
      <c r="S23" s="27">
        <f>Q23-R23</f>
        <v/>
      </c>
      <c r="T23" s="27">
        <f>T22+S23</f>
        <v/>
      </c>
      <c r="U23" s="27">
        <f>S23/(1+Calculation!E$22)^($A23/12)</f>
        <v/>
      </c>
      <c r="V23" s="28">
        <f>IF(AND(T23&gt;=0,T22&lt;0),$A23,"")</f>
        <v/>
      </c>
    </row>
    <row r="24">
      <c r="A24" t="n">
        <v>19</v>
      </c>
      <c r="B24" s="26">
        <f>IF($A24=0,0,IF($A24&lt;=Calculation!C$20,Calculation!C$19,Calculation!C$21))</f>
        <v/>
      </c>
      <c r="C24" s="27">
        <f>Calculation!C$30*B24</f>
        <v/>
      </c>
      <c r="D24" s="27">
        <f>IF($A24=0,Calculation!C$32,Calculation!C$33/12)</f>
        <v/>
      </c>
      <c r="E24" s="27">
        <f>C24-D24</f>
        <v/>
      </c>
      <c r="F24" s="27">
        <f>F23+E24</f>
        <v/>
      </c>
      <c r="G24" s="27">
        <f>E24/(1+Calculation!C$22)^($A24/12)</f>
        <v/>
      </c>
      <c r="H24" s="28">
        <f>IF(AND(F24&gt;=0,F23&lt;0),$A24,"")</f>
        <v/>
      </c>
      <c r="I24" s="26">
        <f>IF($A24=0,0,IF($A24&lt;=Calculation!D$20,Calculation!D$19,Calculation!D$21))</f>
        <v/>
      </c>
      <c r="J24" s="27">
        <f>Calculation!D$30*I24</f>
        <v/>
      </c>
      <c r="K24" s="27">
        <f>IF($A24=0,Calculation!D$32,Calculation!D$33/12)</f>
        <v/>
      </c>
      <c r="L24" s="27">
        <f>J24-K24</f>
        <v/>
      </c>
      <c r="M24" s="27">
        <f>M23+L24</f>
        <v/>
      </c>
      <c r="N24" s="27">
        <f>L24/(1+Calculation!D$22)^($A24/12)</f>
        <v/>
      </c>
      <c r="O24" s="28">
        <f>IF(AND(M24&gt;=0,M23&lt;0),$A24,"")</f>
        <v/>
      </c>
      <c r="P24" s="26">
        <f>IF($A24=0,0,IF($A24&lt;=Calculation!E$20,Calculation!E$19,Calculation!E$21))</f>
        <v/>
      </c>
      <c r="Q24" s="27">
        <f>Calculation!E$30*P24</f>
        <v/>
      </c>
      <c r="R24" s="27">
        <f>IF($A24=0,Calculation!E$32,Calculation!E$33/12)</f>
        <v/>
      </c>
      <c r="S24" s="27">
        <f>Q24-R24</f>
        <v/>
      </c>
      <c r="T24" s="27">
        <f>T23+S24</f>
        <v/>
      </c>
      <c r="U24" s="27">
        <f>S24/(1+Calculation!E$22)^($A24/12)</f>
        <v/>
      </c>
      <c r="V24" s="28">
        <f>IF(AND(T24&gt;=0,T23&lt;0),$A24,"")</f>
        <v/>
      </c>
    </row>
    <row r="25">
      <c r="A25" t="n">
        <v>20</v>
      </c>
      <c r="B25" s="26">
        <f>IF($A25=0,0,IF($A25&lt;=Calculation!C$20,Calculation!C$19,Calculation!C$21))</f>
        <v/>
      </c>
      <c r="C25" s="27">
        <f>Calculation!C$30*B25</f>
        <v/>
      </c>
      <c r="D25" s="27">
        <f>IF($A25=0,Calculation!C$32,Calculation!C$33/12)</f>
        <v/>
      </c>
      <c r="E25" s="27">
        <f>C25-D25</f>
        <v/>
      </c>
      <c r="F25" s="27">
        <f>F24+E25</f>
        <v/>
      </c>
      <c r="G25" s="27">
        <f>E25/(1+Calculation!C$22)^($A25/12)</f>
        <v/>
      </c>
      <c r="H25" s="28">
        <f>IF(AND(F25&gt;=0,F24&lt;0),$A25,"")</f>
        <v/>
      </c>
      <c r="I25" s="26">
        <f>IF($A25=0,0,IF($A25&lt;=Calculation!D$20,Calculation!D$19,Calculation!D$21))</f>
        <v/>
      </c>
      <c r="J25" s="27">
        <f>Calculation!D$30*I25</f>
        <v/>
      </c>
      <c r="K25" s="27">
        <f>IF($A25=0,Calculation!D$32,Calculation!D$33/12)</f>
        <v/>
      </c>
      <c r="L25" s="27">
        <f>J25-K25</f>
        <v/>
      </c>
      <c r="M25" s="27">
        <f>M24+L25</f>
        <v/>
      </c>
      <c r="N25" s="27">
        <f>L25/(1+Calculation!D$22)^($A25/12)</f>
        <v/>
      </c>
      <c r="O25" s="28">
        <f>IF(AND(M25&gt;=0,M24&lt;0),$A25,"")</f>
        <v/>
      </c>
      <c r="P25" s="26">
        <f>IF($A25=0,0,IF($A25&lt;=Calculation!E$20,Calculation!E$19,Calculation!E$21))</f>
        <v/>
      </c>
      <c r="Q25" s="27">
        <f>Calculation!E$30*P25</f>
        <v/>
      </c>
      <c r="R25" s="27">
        <f>IF($A25=0,Calculation!E$32,Calculation!E$33/12)</f>
        <v/>
      </c>
      <c r="S25" s="27">
        <f>Q25-R25</f>
        <v/>
      </c>
      <c r="T25" s="27">
        <f>T24+S25</f>
        <v/>
      </c>
      <c r="U25" s="27">
        <f>S25/(1+Calculation!E$22)^($A25/12)</f>
        <v/>
      </c>
      <c r="V25" s="28">
        <f>IF(AND(T25&gt;=0,T24&lt;0),$A25,"")</f>
        <v/>
      </c>
    </row>
    <row r="26">
      <c r="A26" t="n">
        <v>21</v>
      </c>
      <c r="B26" s="26">
        <f>IF($A26=0,0,IF($A26&lt;=Calculation!C$20,Calculation!C$19,Calculation!C$21))</f>
        <v/>
      </c>
      <c r="C26" s="27">
        <f>Calculation!C$30*B26</f>
        <v/>
      </c>
      <c r="D26" s="27">
        <f>IF($A26=0,Calculation!C$32,Calculation!C$33/12)</f>
        <v/>
      </c>
      <c r="E26" s="27">
        <f>C26-D26</f>
        <v/>
      </c>
      <c r="F26" s="27">
        <f>F25+E26</f>
        <v/>
      </c>
      <c r="G26" s="27">
        <f>E26/(1+Calculation!C$22)^($A26/12)</f>
        <v/>
      </c>
      <c r="H26" s="28">
        <f>IF(AND(F26&gt;=0,F25&lt;0),$A26,"")</f>
        <v/>
      </c>
      <c r="I26" s="26">
        <f>IF($A26=0,0,IF($A26&lt;=Calculation!D$20,Calculation!D$19,Calculation!D$21))</f>
        <v/>
      </c>
      <c r="J26" s="27">
        <f>Calculation!D$30*I26</f>
        <v/>
      </c>
      <c r="K26" s="27">
        <f>IF($A26=0,Calculation!D$32,Calculation!D$33/12)</f>
        <v/>
      </c>
      <c r="L26" s="27">
        <f>J26-K26</f>
        <v/>
      </c>
      <c r="M26" s="27">
        <f>M25+L26</f>
        <v/>
      </c>
      <c r="N26" s="27">
        <f>L26/(1+Calculation!D$22)^($A26/12)</f>
        <v/>
      </c>
      <c r="O26" s="28">
        <f>IF(AND(M26&gt;=0,M25&lt;0),$A26,"")</f>
        <v/>
      </c>
      <c r="P26" s="26">
        <f>IF($A26=0,0,IF($A26&lt;=Calculation!E$20,Calculation!E$19,Calculation!E$21))</f>
        <v/>
      </c>
      <c r="Q26" s="27">
        <f>Calculation!E$30*P26</f>
        <v/>
      </c>
      <c r="R26" s="27">
        <f>IF($A26=0,Calculation!E$32,Calculation!E$33/12)</f>
        <v/>
      </c>
      <c r="S26" s="27">
        <f>Q26-R26</f>
        <v/>
      </c>
      <c r="T26" s="27">
        <f>T25+S26</f>
        <v/>
      </c>
      <c r="U26" s="27">
        <f>S26/(1+Calculation!E$22)^($A26/12)</f>
        <v/>
      </c>
      <c r="V26" s="28">
        <f>IF(AND(T26&gt;=0,T25&lt;0),$A26,"")</f>
        <v/>
      </c>
    </row>
    <row r="27">
      <c r="A27" t="n">
        <v>22</v>
      </c>
      <c r="B27" s="26">
        <f>IF($A27=0,0,IF($A27&lt;=Calculation!C$20,Calculation!C$19,Calculation!C$21))</f>
        <v/>
      </c>
      <c r="C27" s="27">
        <f>Calculation!C$30*B27</f>
        <v/>
      </c>
      <c r="D27" s="27">
        <f>IF($A27=0,Calculation!C$32,Calculation!C$33/12)</f>
        <v/>
      </c>
      <c r="E27" s="27">
        <f>C27-D27</f>
        <v/>
      </c>
      <c r="F27" s="27">
        <f>F26+E27</f>
        <v/>
      </c>
      <c r="G27" s="27">
        <f>E27/(1+Calculation!C$22)^($A27/12)</f>
        <v/>
      </c>
      <c r="H27" s="28">
        <f>IF(AND(F27&gt;=0,F26&lt;0),$A27,"")</f>
        <v/>
      </c>
      <c r="I27" s="26">
        <f>IF($A27=0,0,IF($A27&lt;=Calculation!D$20,Calculation!D$19,Calculation!D$21))</f>
        <v/>
      </c>
      <c r="J27" s="27">
        <f>Calculation!D$30*I27</f>
        <v/>
      </c>
      <c r="K27" s="27">
        <f>IF($A27=0,Calculation!D$32,Calculation!D$33/12)</f>
        <v/>
      </c>
      <c r="L27" s="27">
        <f>J27-K27</f>
        <v/>
      </c>
      <c r="M27" s="27">
        <f>M26+L27</f>
        <v/>
      </c>
      <c r="N27" s="27">
        <f>L27/(1+Calculation!D$22)^($A27/12)</f>
        <v/>
      </c>
      <c r="O27" s="28">
        <f>IF(AND(M27&gt;=0,M26&lt;0),$A27,"")</f>
        <v/>
      </c>
      <c r="P27" s="26">
        <f>IF($A27=0,0,IF($A27&lt;=Calculation!E$20,Calculation!E$19,Calculation!E$21))</f>
        <v/>
      </c>
      <c r="Q27" s="27">
        <f>Calculation!E$30*P27</f>
        <v/>
      </c>
      <c r="R27" s="27">
        <f>IF($A27=0,Calculation!E$32,Calculation!E$33/12)</f>
        <v/>
      </c>
      <c r="S27" s="27">
        <f>Q27-R27</f>
        <v/>
      </c>
      <c r="T27" s="27">
        <f>T26+S27</f>
        <v/>
      </c>
      <c r="U27" s="27">
        <f>S27/(1+Calculation!E$22)^($A27/12)</f>
        <v/>
      </c>
      <c r="V27" s="28">
        <f>IF(AND(T27&gt;=0,T26&lt;0),$A27,"")</f>
        <v/>
      </c>
    </row>
    <row r="28">
      <c r="A28" t="n">
        <v>23</v>
      </c>
      <c r="B28" s="26">
        <f>IF($A28=0,0,IF($A28&lt;=Calculation!C$20,Calculation!C$19,Calculation!C$21))</f>
        <v/>
      </c>
      <c r="C28" s="27">
        <f>Calculation!C$30*B28</f>
        <v/>
      </c>
      <c r="D28" s="27">
        <f>IF($A28=0,Calculation!C$32,Calculation!C$33/12)</f>
        <v/>
      </c>
      <c r="E28" s="27">
        <f>C28-D28</f>
        <v/>
      </c>
      <c r="F28" s="27">
        <f>F27+E28</f>
        <v/>
      </c>
      <c r="G28" s="27">
        <f>E28/(1+Calculation!C$22)^($A28/12)</f>
        <v/>
      </c>
      <c r="H28" s="28">
        <f>IF(AND(F28&gt;=0,F27&lt;0),$A28,"")</f>
        <v/>
      </c>
      <c r="I28" s="26">
        <f>IF($A28=0,0,IF($A28&lt;=Calculation!D$20,Calculation!D$19,Calculation!D$21))</f>
        <v/>
      </c>
      <c r="J28" s="27">
        <f>Calculation!D$30*I28</f>
        <v/>
      </c>
      <c r="K28" s="27">
        <f>IF($A28=0,Calculation!D$32,Calculation!D$33/12)</f>
        <v/>
      </c>
      <c r="L28" s="27">
        <f>J28-K28</f>
        <v/>
      </c>
      <c r="M28" s="27">
        <f>M27+L28</f>
        <v/>
      </c>
      <c r="N28" s="27">
        <f>L28/(1+Calculation!D$22)^($A28/12)</f>
        <v/>
      </c>
      <c r="O28" s="28">
        <f>IF(AND(M28&gt;=0,M27&lt;0),$A28,"")</f>
        <v/>
      </c>
      <c r="P28" s="26">
        <f>IF($A28=0,0,IF($A28&lt;=Calculation!E$20,Calculation!E$19,Calculation!E$21))</f>
        <v/>
      </c>
      <c r="Q28" s="27">
        <f>Calculation!E$30*P28</f>
        <v/>
      </c>
      <c r="R28" s="27">
        <f>IF($A28=0,Calculation!E$32,Calculation!E$33/12)</f>
        <v/>
      </c>
      <c r="S28" s="27">
        <f>Q28-R28</f>
        <v/>
      </c>
      <c r="T28" s="27">
        <f>T27+S28</f>
        <v/>
      </c>
      <c r="U28" s="27">
        <f>S28/(1+Calculation!E$22)^($A28/12)</f>
        <v/>
      </c>
      <c r="V28" s="28">
        <f>IF(AND(T28&gt;=0,T27&lt;0),$A28,"")</f>
        <v/>
      </c>
    </row>
    <row r="29">
      <c r="A29" t="n">
        <v>24</v>
      </c>
      <c r="B29" s="26">
        <f>IF($A29=0,0,IF($A29&lt;=Calculation!C$20,Calculation!C$19,Calculation!C$21))</f>
        <v/>
      </c>
      <c r="C29" s="27">
        <f>Calculation!C$30*B29</f>
        <v/>
      </c>
      <c r="D29" s="27">
        <f>IF($A29=0,Calculation!C$32,Calculation!C$33/12)</f>
        <v/>
      </c>
      <c r="E29" s="27">
        <f>C29-D29</f>
        <v/>
      </c>
      <c r="F29" s="27">
        <f>F28+E29</f>
        <v/>
      </c>
      <c r="G29" s="27">
        <f>E29/(1+Calculation!C$22)^($A29/12)</f>
        <v/>
      </c>
      <c r="H29" s="28">
        <f>IF(AND(F29&gt;=0,F28&lt;0),$A29,"")</f>
        <v/>
      </c>
      <c r="I29" s="26">
        <f>IF($A29=0,0,IF($A29&lt;=Calculation!D$20,Calculation!D$19,Calculation!D$21))</f>
        <v/>
      </c>
      <c r="J29" s="27">
        <f>Calculation!D$30*I29</f>
        <v/>
      </c>
      <c r="K29" s="27">
        <f>IF($A29=0,Calculation!D$32,Calculation!D$33/12)</f>
        <v/>
      </c>
      <c r="L29" s="27">
        <f>J29-K29</f>
        <v/>
      </c>
      <c r="M29" s="27">
        <f>M28+L29</f>
        <v/>
      </c>
      <c r="N29" s="27">
        <f>L29/(1+Calculation!D$22)^($A29/12)</f>
        <v/>
      </c>
      <c r="O29" s="28">
        <f>IF(AND(M29&gt;=0,M28&lt;0),$A29,"")</f>
        <v/>
      </c>
      <c r="P29" s="26">
        <f>IF($A29=0,0,IF($A29&lt;=Calculation!E$20,Calculation!E$19,Calculation!E$21))</f>
        <v/>
      </c>
      <c r="Q29" s="27">
        <f>Calculation!E$30*P29</f>
        <v/>
      </c>
      <c r="R29" s="27">
        <f>IF($A29=0,Calculation!E$32,Calculation!E$33/12)</f>
        <v/>
      </c>
      <c r="S29" s="27">
        <f>Q29-R29</f>
        <v/>
      </c>
      <c r="T29" s="27">
        <f>T28+S29</f>
        <v/>
      </c>
      <c r="U29" s="27">
        <f>S29/(1+Calculation!E$22)^($A29/12)</f>
        <v/>
      </c>
      <c r="V29" s="28">
        <f>IF(AND(T29&gt;=0,T28&lt;0),$A29,"")</f>
        <v/>
      </c>
    </row>
    <row r="30">
      <c r="A30" t="n">
        <v>25</v>
      </c>
      <c r="B30" s="26">
        <f>IF($A30=0,0,IF($A30&lt;=Calculation!C$20,Calculation!C$19,Calculation!C$21))</f>
        <v/>
      </c>
      <c r="C30" s="27">
        <f>Calculation!C$30*B30</f>
        <v/>
      </c>
      <c r="D30" s="27">
        <f>IF($A30=0,Calculation!C$32,Calculation!C$33/12)</f>
        <v/>
      </c>
      <c r="E30" s="27">
        <f>C30-D30</f>
        <v/>
      </c>
      <c r="F30" s="27">
        <f>F29+E30</f>
        <v/>
      </c>
      <c r="G30" s="27">
        <f>E30/(1+Calculation!C$22)^($A30/12)</f>
        <v/>
      </c>
      <c r="H30" s="28">
        <f>IF(AND(F30&gt;=0,F29&lt;0),$A30,"")</f>
        <v/>
      </c>
      <c r="I30" s="26">
        <f>IF($A30=0,0,IF($A30&lt;=Calculation!D$20,Calculation!D$19,Calculation!D$21))</f>
        <v/>
      </c>
      <c r="J30" s="27">
        <f>Calculation!D$30*I30</f>
        <v/>
      </c>
      <c r="K30" s="27">
        <f>IF($A30=0,Calculation!D$32,Calculation!D$33/12)</f>
        <v/>
      </c>
      <c r="L30" s="27">
        <f>J30-K30</f>
        <v/>
      </c>
      <c r="M30" s="27">
        <f>M29+L30</f>
        <v/>
      </c>
      <c r="N30" s="27">
        <f>L30/(1+Calculation!D$22)^($A30/12)</f>
        <v/>
      </c>
      <c r="O30" s="28">
        <f>IF(AND(M30&gt;=0,M29&lt;0),$A30,"")</f>
        <v/>
      </c>
      <c r="P30" s="26">
        <f>IF($A30=0,0,IF($A30&lt;=Calculation!E$20,Calculation!E$19,Calculation!E$21))</f>
        <v/>
      </c>
      <c r="Q30" s="27">
        <f>Calculation!E$30*P30</f>
        <v/>
      </c>
      <c r="R30" s="27">
        <f>IF($A30=0,Calculation!E$32,Calculation!E$33/12)</f>
        <v/>
      </c>
      <c r="S30" s="27">
        <f>Q30-R30</f>
        <v/>
      </c>
      <c r="T30" s="27">
        <f>T29+S30</f>
        <v/>
      </c>
      <c r="U30" s="27">
        <f>S30/(1+Calculation!E$22)^($A30/12)</f>
        <v/>
      </c>
      <c r="V30" s="28">
        <f>IF(AND(T30&gt;=0,T29&lt;0),$A30,"")</f>
        <v/>
      </c>
    </row>
    <row r="31">
      <c r="A31" t="n">
        <v>26</v>
      </c>
      <c r="B31" s="26">
        <f>IF($A31=0,0,IF($A31&lt;=Calculation!C$20,Calculation!C$19,Calculation!C$21))</f>
        <v/>
      </c>
      <c r="C31" s="27">
        <f>Calculation!C$30*B31</f>
        <v/>
      </c>
      <c r="D31" s="27">
        <f>IF($A31=0,Calculation!C$32,Calculation!C$33/12)</f>
        <v/>
      </c>
      <c r="E31" s="27">
        <f>C31-D31</f>
        <v/>
      </c>
      <c r="F31" s="27">
        <f>F30+E31</f>
        <v/>
      </c>
      <c r="G31" s="27">
        <f>E31/(1+Calculation!C$22)^($A31/12)</f>
        <v/>
      </c>
      <c r="H31" s="28">
        <f>IF(AND(F31&gt;=0,F30&lt;0),$A31,"")</f>
        <v/>
      </c>
      <c r="I31" s="26">
        <f>IF($A31=0,0,IF($A31&lt;=Calculation!D$20,Calculation!D$19,Calculation!D$21))</f>
        <v/>
      </c>
      <c r="J31" s="27">
        <f>Calculation!D$30*I31</f>
        <v/>
      </c>
      <c r="K31" s="27">
        <f>IF($A31=0,Calculation!D$32,Calculation!D$33/12)</f>
        <v/>
      </c>
      <c r="L31" s="27">
        <f>J31-K31</f>
        <v/>
      </c>
      <c r="M31" s="27">
        <f>M30+L31</f>
        <v/>
      </c>
      <c r="N31" s="27">
        <f>L31/(1+Calculation!D$22)^($A31/12)</f>
        <v/>
      </c>
      <c r="O31" s="28">
        <f>IF(AND(M31&gt;=0,M30&lt;0),$A31,"")</f>
        <v/>
      </c>
      <c r="P31" s="26">
        <f>IF($A31=0,0,IF($A31&lt;=Calculation!E$20,Calculation!E$19,Calculation!E$21))</f>
        <v/>
      </c>
      <c r="Q31" s="27">
        <f>Calculation!E$30*P31</f>
        <v/>
      </c>
      <c r="R31" s="27">
        <f>IF($A31=0,Calculation!E$32,Calculation!E$33/12)</f>
        <v/>
      </c>
      <c r="S31" s="27">
        <f>Q31-R31</f>
        <v/>
      </c>
      <c r="T31" s="27">
        <f>T30+S31</f>
        <v/>
      </c>
      <c r="U31" s="27">
        <f>S31/(1+Calculation!E$22)^($A31/12)</f>
        <v/>
      </c>
      <c r="V31" s="28">
        <f>IF(AND(T31&gt;=0,T30&lt;0),$A31,"")</f>
        <v/>
      </c>
    </row>
    <row r="32">
      <c r="A32" t="n">
        <v>27</v>
      </c>
      <c r="B32" s="26">
        <f>IF($A32=0,0,IF($A32&lt;=Calculation!C$20,Calculation!C$19,Calculation!C$21))</f>
        <v/>
      </c>
      <c r="C32" s="27">
        <f>Calculation!C$30*B32</f>
        <v/>
      </c>
      <c r="D32" s="27">
        <f>IF($A32=0,Calculation!C$32,Calculation!C$33/12)</f>
        <v/>
      </c>
      <c r="E32" s="27">
        <f>C32-D32</f>
        <v/>
      </c>
      <c r="F32" s="27">
        <f>F31+E32</f>
        <v/>
      </c>
      <c r="G32" s="27">
        <f>E32/(1+Calculation!C$22)^($A32/12)</f>
        <v/>
      </c>
      <c r="H32" s="28">
        <f>IF(AND(F32&gt;=0,F31&lt;0),$A32,"")</f>
        <v/>
      </c>
      <c r="I32" s="26">
        <f>IF($A32=0,0,IF($A32&lt;=Calculation!D$20,Calculation!D$19,Calculation!D$21))</f>
        <v/>
      </c>
      <c r="J32" s="27">
        <f>Calculation!D$30*I32</f>
        <v/>
      </c>
      <c r="K32" s="27">
        <f>IF($A32=0,Calculation!D$32,Calculation!D$33/12)</f>
        <v/>
      </c>
      <c r="L32" s="27">
        <f>J32-K32</f>
        <v/>
      </c>
      <c r="M32" s="27">
        <f>M31+L32</f>
        <v/>
      </c>
      <c r="N32" s="27">
        <f>L32/(1+Calculation!D$22)^($A32/12)</f>
        <v/>
      </c>
      <c r="O32" s="28">
        <f>IF(AND(M32&gt;=0,M31&lt;0),$A32,"")</f>
        <v/>
      </c>
      <c r="P32" s="26">
        <f>IF($A32=0,0,IF($A32&lt;=Calculation!E$20,Calculation!E$19,Calculation!E$21))</f>
        <v/>
      </c>
      <c r="Q32" s="27">
        <f>Calculation!E$30*P32</f>
        <v/>
      </c>
      <c r="R32" s="27">
        <f>IF($A32=0,Calculation!E$32,Calculation!E$33/12)</f>
        <v/>
      </c>
      <c r="S32" s="27">
        <f>Q32-R32</f>
        <v/>
      </c>
      <c r="T32" s="27">
        <f>T31+S32</f>
        <v/>
      </c>
      <c r="U32" s="27">
        <f>S32/(1+Calculation!E$22)^($A32/12)</f>
        <v/>
      </c>
      <c r="V32" s="28">
        <f>IF(AND(T32&gt;=0,T31&lt;0),$A32,"")</f>
        <v/>
      </c>
    </row>
    <row r="33">
      <c r="A33" t="n">
        <v>28</v>
      </c>
      <c r="B33" s="26">
        <f>IF($A33=0,0,IF($A33&lt;=Calculation!C$20,Calculation!C$19,Calculation!C$21))</f>
        <v/>
      </c>
      <c r="C33" s="27">
        <f>Calculation!C$30*B33</f>
        <v/>
      </c>
      <c r="D33" s="27">
        <f>IF($A33=0,Calculation!C$32,Calculation!C$33/12)</f>
        <v/>
      </c>
      <c r="E33" s="27">
        <f>C33-D33</f>
        <v/>
      </c>
      <c r="F33" s="27">
        <f>F32+E33</f>
        <v/>
      </c>
      <c r="G33" s="27">
        <f>E33/(1+Calculation!C$22)^($A33/12)</f>
        <v/>
      </c>
      <c r="H33" s="28">
        <f>IF(AND(F33&gt;=0,F32&lt;0),$A33,"")</f>
        <v/>
      </c>
      <c r="I33" s="26">
        <f>IF($A33=0,0,IF($A33&lt;=Calculation!D$20,Calculation!D$19,Calculation!D$21))</f>
        <v/>
      </c>
      <c r="J33" s="27">
        <f>Calculation!D$30*I33</f>
        <v/>
      </c>
      <c r="K33" s="27">
        <f>IF($A33=0,Calculation!D$32,Calculation!D$33/12)</f>
        <v/>
      </c>
      <c r="L33" s="27">
        <f>J33-K33</f>
        <v/>
      </c>
      <c r="M33" s="27">
        <f>M32+L33</f>
        <v/>
      </c>
      <c r="N33" s="27">
        <f>L33/(1+Calculation!D$22)^($A33/12)</f>
        <v/>
      </c>
      <c r="O33" s="28">
        <f>IF(AND(M33&gt;=0,M32&lt;0),$A33,"")</f>
        <v/>
      </c>
      <c r="P33" s="26">
        <f>IF($A33=0,0,IF($A33&lt;=Calculation!E$20,Calculation!E$19,Calculation!E$21))</f>
        <v/>
      </c>
      <c r="Q33" s="27">
        <f>Calculation!E$30*P33</f>
        <v/>
      </c>
      <c r="R33" s="27">
        <f>IF($A33=0,Calculation!E$32,Calculation!E$33/12)</f>
        <v/>
      </c>
      <c r="S33" s="27">
        <f>Q33-R33</f>
        <v/>
      </c>
      <c r="T33" s="27">
        <f>T32+S33</f>
        <v/>
      </c>
      <c r="U33" s="27">
        <f>S33/(1+Calculation!E$22)^($A33/12)</f>
        <v/>
      </c>
      <c r="V33" s="28">
        <f>IF(AND(T33&gt;=0,T32&lt;0),$A33,"")</f>
        <v/>
      </c>
    </row>
    <row r="34">
      <c r="A34" t="n">
        <v>29</v>
      </c>
      <c r="B34" s="26">
        <f>IF($A34=0,0,IF($A34&lt;=Calculation!C$20,Calculation!C$19,Calculation!C$21))</f>
        <v/>
      </c>
      <c r="C34" s="27">
        <f>Calculation!C$30*B34</f>
        <v/>
      </c>
      <c r="D34" s="27">
        <f>IF($A34=0,Calculation!C$32,Calculation!C$33/12)</f>
        <v/>
      </c>
      <c r="E34" s="27">
        <f>C34-D34</f>
        <v/>
      </c>
      <c r="F34" s="27">
        <f>F33+E34</f>
        <v/>
      </c>
      <c r="G34" s="27">
        <f>E34/(1+Calculation!C$22)^($A34/12)</f>
        <v/>
      </c>
      <c r="H34" s="28">
        <f>IF(AND(F34&gt;=0,F33&lt;0),$A34,"")</f>
        <v/>
      </c>
      <c r="I34" s="26">
        <f>IF($A34=0,0,IF($A34&lt;=Calculation!D$20,Calculation!D$19,Calculation!D$21))</f>
        <v/>
      </c>
      <c r="J34" s="27">
        <f>Calculation!D$30*I34</f>
        <v/>
      </c>
      <c r="K34" s="27">
        <f>IF($A34=0,Calculation!D$32,Calculation!D$33/12)</f>
        <v/>
      </c>
      <c r="L34" s="27">
        <f>J34-K34</f>
        <v/>
      </c>
      <c r="M34" s="27">
        <f>M33+L34</f>
        <v/>
      </c>
      <c r="N34" s="27">
        <f>L34/(1+Calculation!D$22)^($A34/12)</f>
        <v/>
      </c>
      <c r="O34" s="28">
        <f>IF(AND(M34&gt;=0,M33&lt;0),$A34,"")</f>
        <v/>
      </c>
      <c r="P34" s="26">
        <f>IF($A34=0,0,IF($A34&lt;=Calculation!E$20,Calculation!E$19,Calculation!E$21))</f>
        <v/>
      </c>
      <c r="Q34" s="27">
        <f>Calculation!E$30*P34</f>
        <v/>
      </c>
      <c r="R34" s="27">
        <f>IF($A34=0,Calculation!E$32,Calculation!E$33/12)</f>
        <v/>
      </c>
      <c r="S34" s="27">
        <f>Q34-R34</f>
        <v/>
      </c>
      <c r="T34" s="27">
        <f>T33+S34</f>
        <v/>
      </c>
      <c r="U34" s="27">
        <f>S34/(1+Calculation!E$22)^($A34/12)</f>
        <v/>
      </c>
      <c r="V34" s="28">
        <f>IF(AND(T34&gt;=0,T33&lt;0),$A34,"")</f>
        <v/>
      </c>
    </row>
    <row r="35">
      <c r="A35" t="n">
        <v>30</v>
      </c>
      <c r="B35" s="26">
        <f>IF($A35=0,0,IF($A35&lt;=Calculation!C$20,Calculation!C$19,Calculation!C$21))</f>
        <v/>
      </c>
      <c r="C35" s="27">
        <f>Calculation!C$30*B35</f>
        <v/>
      </c>
      <c r="D35" s="27">
        <f>IF($A35=0,Calculation!C$32,Calculation!C$33/12)</f>
        <v/>
      </c>
      <c r="E35" s="27">
        <f>C35-D35</f>
        <v/>
      </c>
      <c r="F35" s="27">
        <f>F34+E35</f>
        <v/>
      </c>
      <c r="G35" s="27">
        <f>E35/(1+Calculation!C$22)^($A35/12)</f>
        <v/>
      </c>
      <c r="H35" s="28">
        <f>IF(AND(F35&gt;=0,F34&lt;0),$A35,"")</f>
        <v/>
      </c>
      <c r="I35" s="26">
        <f>IF($A35=0,0,IF($A35&lt;=Calculation!D$20,Calculation!D$19,Calculation!D$21))</f>
        <v/>
      </c>
      <c r="J35" s="27">
        <f>Calculation!D$30*I35</f>
        <v/>
      </c>
      <c r="K35" s="27">
        <f>IF($A35=0,Calculation!D$32,Calculation!D$33/12)</f>
        <v/>
      </c>
      <c r="L35" s="27">
        <f>J35-K35</f>
        <v/>
      </c>
      <c r="M35" s="27">
        <f>M34+L35</f>
        <v/>
      </c>
      <c r="N35" s="27">
        <f>L35/(1+Calculation!D$22)^($A35/12)</f>
        <v/>
      </c>
      <c r="O35" s="28">
        <f>IF(AND(M35&gt;=0,M34&lt;0),$A35,"")</f>
        <v/>
      </c>
      <c r="P35" s="26">
        <f>IF($A35=0,0,IF($A35&lt;=Calculation!E$20,Calculation!E$19,Calculation!E$21))</f>
        <v/>
      </c>
      <c r="Q35" s="27">
        <f>Calculation!E$30*P35</f>
        <v/>
      </c>
      <c r="R35" s="27">
        <f>IF($A35=0,Calculation!E$32,Calculation!E$33/12)</f>
        <v/>
      </c>
      <c r="S35" s="27">
        <f>Q35-R35</f>
        <v/>
      </c>
      <c r="T35" s="27">
        <f>T34+S35</f>
        <v/>
      </c>
      <c r="U35" s="27">
        <f>S35/(1+Calculation!E$22)^($A35/12)</f>
        <v/>
      </c>
      <c r="V35" s="28">
        <f>IF(AND(T35&gt;=0,T34&lt;0),$A35,"")</f>
        <v/>
      </c>
    </row>
    <row r="36">
      <c r="A36" t="n">
        <v>31</v>
      </c>
      <c r="B36" s="26">
        <f>IF($A36=0,0,IF($A36&lt;=Calculation!C$20,Calculation!C$19,Calculation!C$21))</f>
        <v/>
      </c>
      <c r="C36" s="27">
        <f>Calculation!C$30*B36</f>
        <v/>
      </c>
      <c r="D36" s="27">
        <f>IF($A36=0,Calculation!C$32,Calculation!C$33/12)</f>
        <v/>
      </c>
      <c r="E36" s="27">
        <f>C36-D36</f>
        <v/>
      </c>
      <c r="F36" s="27">
        <f>F35+E36</f>
        <v/>
      </c>
      <c r="G36" s="27">
        <f>E36/(1+Calculation!C$22)^($A36/12)</f>
        <v/>
      </c>
      <c r="H36" s="28">
        <f>IF(AND(F36&gt;=0,F35&lt;0),$A36,"")</f>
        <v/>
      </c>
      <c r="I36" s="26">
        <f>IF($A36=0,0,IF($A36&lt;=Calculation!D$20,Calculation!D$19,Calculation!D$21))</f>
        <v/>
      </c>
      <c r="J36" s="27">
        <f>Calculation!D$30*I36</f>
        <v/>
      </c>
      <c r="K36" s="27">
        <f>IF($A36=0,Calculation!D$32,Calculation!D$33/12)</f>
        <v/>
      </c>
      <c r="L36" s="27">
        <f>J36-K36</f>
        <v/>
      </c>
      <c r="M36" s="27">
        <f>M35+L36</f>
        <v/>
      </c>
      <c r="N36" s="27">
        <f>L36/(1+Calculation!D$22)^($A36/12)</f>
        <v/>
      </c>
      <c r="O36" s="28">
        <f>IF(AND(M36&gt;=0,M35&lt;0),$A36,"")</f>
        <v/>
      </c>
      <c r="P36" s="26">
        <f>IF($A36=0,0,IF($A36&lt;=Calculation!E$20,Calculation!E$19,Calculation!E$21))</f>
        <v/>
      </c>
      <c r="Q36" s="27">
        <f>Calculation!E$30*P36</f>
        <v/>
      </c>
      <c r="R36" s="27">
        <f>IF($A36=0,Calculation!E$32,Calculation!E$33/12)</f>
        <v/>
      </c>
      <c r="S36" s="27">
        <f>Q36-R36</f>
        <v/>
      </c>
      <c r="T36" s="27">
        <f>T35+S36</f>
        <v/>
      </c>
      <c r="U36" s="27">
        <f>S36/(1+Calculation!E$22)^($A36/12)</f>
        <v/>
      </c>
      <c r="V36" s="28">
        <f>IF(AND(T36&gt;=0,T35&lt;0),$A36,"")</f>
        <v/>
      </c>
    </row>
    <row r="37">
      <c r="A37" t="n">
        <v>32</v>
      </c>
      <c r="B37" s="26">
        <f>IF($A37=0,0,IF($A37&lt;=Calculation!C$20,Calculation!C$19,Calculation!C$21))</f>
        <v/>
      </c>
      <c r="C37" s="27">
        <f>Calculation!C$30*B37</f>
        <v/>
      </c>
      <c r="D37" s="27">
        <f>IF($A37=0,Calculation!C$32,Calculation!C$33/12)</f>
        <v/>
      </c>
      <c r="E37" s="27">
        <f>C37-D37</f>
        <v/>
      </c>
      <c r="F37" s="27">
        <f>F36+E37</f>
        <v/>
      </c>
      <c r="G37" s="27">
        <f>E37/(1+Calculation!C$22)^($A37/12)</f>
        <v/>
      </c>
      <c r="H37" s="28">
        <f>IF(AND(F37&gt;=0,F36&lt;0),$A37,"")</f>
        <v/>
      </c>
      <c r="I37" s="26">
        <f>IF($A37=0,0,IF($A37&lt;=Calculation!D$20,Calculation!D$19,Calculation!D$21))</f>
        <v/>
      </c>
      <c r="J37" s="27">
        <f>Calculation!D$30*I37</f>
        <v/>
      </c>
      <c r="K37" s="27">
        <f>IF($A37=0,Calculation!D$32,Calculation!D$33/12)</f>
        <v/>
      </c>
      <c r="L37" s="27">
        <f>J37-K37</f>
        <v/>
      </c>
      <c r="M37" s="27">
        <f>M36+L37</f>
        <v/>
      </c>
      <c r="N37" s="27">
        <f>L37/(1+Calculation!D$22)^($A37/12)</f>
        <v/>
      </c>
      <c r="O37" s="28">
        <f>IF(AND(M37&gt;=0,M36&lt;0),$A37,"")</f>
        <v/>
      </c>
      <c r="P37" s="26">
        <f>IF($A37=0,0,IF($A37&lt;=Calculation!E$20,Calculation!E$19,Calculation!E$21))</f>
        <v/>
      </c>
      <c r="Q37" s="27">
        <f>Calculation!E$30*P37</f>
        <v/>
      </c>
      <c r="R37" s="27">
        <f>IF($A37=0,Calculation!E$32,Calculation!E$33/12)</f>
        <v/>
      </c>
      <c r="S37" s="27">
        <f>Q37-R37</f>
        <v/>
      </c>
      <c r="T37" s="27">
        <f>T36+S37</f>
        <v/>
      </c>
      <c r="U37" s="27">
        <f>S37/(1+Calculation!E$22)^($A37/12)</f>
        <v/>
      </c>
      <c r="V37" s="28">
        <f>IF(AND(T37&gt;=0,T36&lt;0),$A37,"")</f>
        <v/>
      </c>
    </row>
    <row r="38">
      <c r="A38" t="n">
        <v>33</v>
      </c>
      <c r="B38" s="26">
        <f>IF($A38=0,0,IF($A38&lt;=Calculation!C$20,Calculation!C$19,Calculation!C$21))</f>
        <v/>
      </c>
      <c r="C38" s="27">
        <f>Calculation!C$30*B38</f>
        <v/>
      </c>
      <c r="D38" s="27">
        <f>IF($A38=0,Calculation!C$32,Calculation!C$33/12)</f>
        <v/>
      </c>
      <c r="E38" s="27">
        <f>C38-D38</f>
        <v/>
      </c>
      <c r="F38" s="27">
        <f>F37+E38</f>
        <v/>
      </c>
      <c r="G38" s="27">
        <f>E38/(1+Calculation!C$22)^($A38/12)</f>
        <v/>
      </c>
      <c r="H38" s="28">
        <f>IF(AND(F38&gt;=0,F37&lt;0),$A38,"")</f>
        <v/>
      </c>
      <c r="I38" s="26">
        <f>IF($A38=0,0,IF($A38&lt;=Calculation!D$20,Calculation!D$19,Calculation!D$21))</f>
        <v/>
      </c>
      <c r="J38" s="27">
        <f>Calculation!D$30*I38</f>
        <v/>
      </c>
      <c r="K38" s="27">
        <f>IF($A38=0,Calculation!D$32,Calculation!D$33/12)</f>
        <v/>
      </c>
      <c r="L38" s="27">
        <f>J38-K38</f>
        <v/>
      </c>
      <c r="M38" s="27">
        <f>M37+L38</f>
        <v/>
      </c>
      <c r="N38" s="27">
        <f>L38/(1+Calculation!D$22)^($A38/12)</f>
        <v/>
      </c>
      <c r="O38" s="28">
        <f>IF(AND(M38&gt;=0,M37&lt;0),$A38,"")</f>
        <v/>
      </c>
      <c r="P38" s="26">
        <f>IF($A38=0,0,IF($A38&lt;=Calculation!E$20,Calculation!E$19,Calculation!E$21))</f>
        <v/>
      </c>
      <c r="Q38" s="27">
        <f>Calculation!E$30*P38</f>
        <v/>
      </c>
      <c r="R38" s="27">
        <f>IF($A38=0,Calculation!E$32,Calculation!E$33/12)</f>
        <v/>
      </c>
      <c r="S38" s="27">
        <f>Q38-R38</f>
        <v/>
      </c>
      <c r="T38" s="27">
        <f>T37+S38</f>
        <v/>
      </c>
      <c r="U38" s="27">
        <f>S38/(1+Calculation!E$22)^($A38/12)</f>
        <v/>
      </c>
      <c r="V38" s="28">
        <f>IF(AND(T38&gt;=0,T37&lt;0),$A38,"")</f>
        <v/>
      </c>
    </row>
    <row r="39">
      <c r="A39" t="n">
        <v>34</v>
      </c>
      <c r="B39" s="26">
        <f>IF($A39=0,0,IF($A39&lt;=Calculation!C$20,Calculation!C$19,Calculation!C$21))</f>
        <v/>
      </c>
      <c r="C39" s="27">
        <f>Calculation!C$30*B39</f>
        <v/>
      </c>
      <c r="D39" s="27">
        <f>IF($A39=0,Calculation!C$32,Calculation!C$33/12)</f>
        <v/>
      </c>
      <c r="E39" s="27">
        <f>C39-D39</f>
        <v/>
      </c>
      <c r="F39" s="27">
        <f>F38+E39</f>
        <v/>
      </c>
      <c r="G39" s="27">
        <f>E39/(1+Calculation!C$22)^($A39/12)</f>
        <v/>
      </c>
      <c r="H39" s="28">
        <f>IF(AND(F39&gt;=0,F38&lt;0),$A39,"")</f>
        <v/>
      </c>
      <c r="I39" s="26">
        <f>IF($A39=0,0,IF($A39&lt;=Calculation!D$20,Calculation!D$19,Calculation!D$21))</f>
        <v/>
      </c>
      <c r="J39" s="27">
        <f>Calculation!D$30*I39</f>
        <v/>
      </c>
      <c r="K39" s="27">
        <f>IF($A39=0,Calculation!D$32,Calculation!D$33/12)</f>
        <v/>
      </c>
      <c r="L39" s="27">
        <f>J39-K39</f>
        <v/>
      </c>
      <c r="M39" s="27">
        <f>M38+L39</f>
        <v/>
      </c>
      <c r="N39" s="27">
        <f>L39/(1+Calculation!D$22)^($A39/12)</f>
        <v/>
      </c>
      <c r="O39" s="28">
        <f>IF(AND(M39&gt;=0,M38&lt;0),$A39,"")</f>
        <v/>
      </c>
      <c r="P39" s="26">
        <f>IF($A39=0,0,IF($A39&lt;=Calculation!E$20,Calculation!E$19,Calculation!E$21))</f>
        <v/>
      </c>
      <c r="Q39" s="27">
        <f>Calculation!E$30*P39</f>
        <v/>
      </c>
      <c r="R39" s="27">
        <f>IF($A39=0,Calculation!E$32,Calculation!E$33/12)</f>
        <v/>
      </c>
      <c r="S39" s="27">
        <f>Q39-R39</f>
        <v/>
      </c>
      <c r="T39" s="27">
        <f>T38+S39</f>
        <v/>
      </c>
      <c r="U39" s="27">
        <f>S39/(1+Calculation!E$22)^($A39/12)</f>
        <v/>
      </c>
      <c r="V39" s="28">
        <f>IF(AND(T39&gt;=0,T38&lt;0),$A39,"")</f>
        <v/>
      </c>
    </row>
    <row r="40">
      <c r="A40" t="n">
        <v>35</v>
      </c>
      <c r="B40" s="26">
        <f>IF($A40=0,0,IF($A40&lt;=Calculation!C$20,Calculation!C$19,Calculation!C$21))</f>
        <v/>
      </c>
      <c r="C40" s="27">
        <f>Calculation!C$30*B40</f>
        <v/>
      </c>
      <c r="D40" s="27">
        <f>IF($A40=0,Calculation!C$32,Calculation!C$33/12)</f>
        <v/>
      </c>
      <c r="E40" s="27">
        <f>C40-D40</f>
        <v/>
      </c>
      <c r="F40" s="27">
        <f>F39+E40</f>
        <v/>
      </c>
      <c r="G40" s="27">
        <f>E40/(1+Calculation!C$22)^($A40/12)</f>
        <v/>
      </c>
      <c r="H40" s="28">
        <f>IF(AND(F40&gt;=0,F39&lt;0),$A40,"")</f>
        <v/>
      </c>
      <c r="I40" s="26">
        <f>IF($A40=0,0,IF($A40&lt;=Calculation!D$20,Calculation!D$19,Calculation!D$21))</f>
        <v/>
      </c>
      <c r="J40" s="27">
        <f>Calculation!D$30*I40</f>
        <v/>
      </c>
      <c r="K40" s="27">
        <f>IF($A40=0,Calculation!D$32,Calculation!D$33/12)</f>
        <v/>
      </c>
      <c r="L40" s="27">
        <f>J40-K40</f>
        <v/>
      </c>
      <c r="M40" s="27">
        <f>M39+L40</f>
        <v/>
      </c>
      <c r="N40" s="27">
        <f>L40/(1+Calculation!D$22)^($A40/12)</f>
        <v/>
      </c>
      <c r="O40" s="28">
        <f>IF(AND(M40&gt;=0,M39&lt;0),$A40,"")</f>
        <v/>
      </c>
      <c r="P40" s="26">
        <f>IF($A40=0,0,IF($A40&lt;=Calculation!E$20,Calculation!E$19,Calculation!E$21))</f>
        <v/>
      </c>
      <c r="Q40" s="27">
        <f>Calculation!E$30*P40</f>
        <v/>
      </c>
      <c r="R40" s="27">
        <f>IF($A40=0,Calculation!E$32,Calculation!E$33/12)</f>
        <v/>
      </c>
      <c r="S40" s="27">
        <f>Q40-R40</f>
        <v/>
      </c>
      <c r="T40" s="27">
        <f>T39+S40</f>
        <v/>
      </c>
      <c r="U40" s="27">
        <f>S40/(1+Calculation!E$22)^($A40/12)</f>
        <v/>
      </c>
      <c r="V40" s="28">
        <f>IF(AND(T40&gt;=0,T39&lt;0),$A40,"")</f>
        <v/>
      </c>
    </row>
    <row r="41">
      <c r="A41" t="n">
        <v>36</v>
      </c>
      <c r="B41" s="26">
        <f>IF($A41=0,0,IF($A41&lt;=Calculation!C$20,Calculation!C$19,Calculation!C$21))</f>
        <v/>
      </c>
      <c r="C41" s="27">
        <f>Calculation!C$30*B41</f>
        <v/>
      </c>
      <c r="D41" s="27">
        <f>IF($A41=0,Calculation!C$32,Calculation!C$33/12)</f>
        <v/>
      </c>
      <c r="E41" s="27">
        <f>C41-D41</f>
        <v/>
      </c>
      <c r="F41" s="27">
        <f>F40+E41</f>
        <v/>
      </c>
      <c r="G41" s="27">
        <f>E41/(1+Calculation!C$22)^($A41/12)</f>
        <v/>
      </c>
      <c r="H41" s="28">
        <f>IF(AND(F41&gt;=0,F40&lt;0),$A41,"")</f>
        <v/>
      </c>
      <c r="I41" s="26">
        <f>IF($A41=0,0,IF($A41&lt;=Calculation!D$20,Calculation!D$19,Calculation!D$21))</f>
        <v/>
      </c>
      <c r="J41" s="27">
        <f>Calculation!D$30*I41</f>
        <v/>
      </c>
      <c r="K41" s="27">
        <f>IF($A41=0,Calculation!D$32,Calculation!D$33/12)</f>
        <v/>
      </c>
      <c r="L41" s="27">
        <f>J41-K41</f>
        <v/>
      </c>
      <c r="M41" s="27">
        <f>M40+L41</f>
        <v/>
      </c>
      <c r="N41" s="27">
        <f>L41/(1+Calculation!D$22)^($A41/12)</f>
        <v/>
      </c>
      <c r="O41" s="28">
        <f>IF(AND(M41&gt;=0,M40&lt;0),$A41,"")</f>
        <v/>
      </c>
      <c r="P41" s="26">
        <f>IF($A41=0,0,IF($A41&lt;=Calculation!E$20,Calculation!E$19,Calculation!E$21))</f>
        <v/>
      </c>
      <c r="Q41" s="27">
        <f>Calculation!E$30*P41</f>
        <v/>
      </c>
      <c r="R41" s="27">
        <f>IF($A41=0,Calculation!E$32,Calculation!E$33/12)</f>
        <v/>
      </c>
      <c r="S41" s="27">
        <f>Q41-R41</f>
        <v/>
      </c>
      <c r="T41" s="27">
        <f>T40+S41</f>
        <v/>
      </c>
      <c r="U41" s="27">
        <f>S41/(1+Calculation!E$22)^($A41/12)</f>
        <v/>
      </c>
      <c r="V41" s="28">
        <f>IF(AND(T41&gt;=0,T40&lt;0),$A41,"")</f>
        <v/>
      </c>
    </row>
  </sheetData>
  <mergeCells count="3">
    <mergeCell ref="B3:H3"/>
    <mergeCell ref="P3:V3"/>
    <mergeCell ref="I3:O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4" customWidth="1" min="3" max="3"/>
    <col width="22" customWidth="1" min="4" max="4"/>
    <col width="70" customWidth="1" min="5" max="5"/>
    <col width="12" customWidth="1" min="6" max="6"/>
    <col width="22" customWidth="1" min="7" max="7"/>
  </cols>
  <sheetData>
    <row r="1">
      <c r="A1" s="1" t="inlineStr">
        <is>
          <t>Assumptions log</t>
        </is>
      </c>
    </row>
    <row r="2">
      <c r="A2" t="inlineStr">
        <is>
          <t>UC-01: Supplier delivery notes captured into the ERP without manual typing</t>
        </is>
      </c>
    </row>
    <row r="3">
      <c r="A3" s="2" t="inlineStr">
        <is>
          <t>FICTIONAL EXAMPLE. All names and figures are invented for illustration ("Northwind Aero Services").</t>
        </is>
      </c>
    </row>
    <row r="4">
      <c r="A4" s="4" t="inlineStr">
        <is>
          <t>ID</t>
        </is>
      </c>
      <c r="B4" s="4" t="inlineStr">
        <is>
          <t>Input</t>
        </is>
      </c>
      <c r="C4" s="4" t="inlineStr">
        <is>
          <t>Value (base)</t>
        </is>
      </c>
      <c r="D4" s="4" t="inlineStr">
        <is>
          <t>Unit</t>
        </is>
      </c>
      <c r="E4" s="4" t="inlineStr">
        <is>
          <t>Source or reasoning</t>
        </is>
      </c>
      <c r="F4" s="4" t="inlineStr">
        <is>
          <t>Confidence</t>
        </is>
      </c>
      <c r="G4" s="4" t="inlineStr">
        <is>
          <t>Scenario range</t>
        </is>
      </c>
    </row>
    <row r="5">
      <c r="A5" t="inlineStr">
        <is>
          <t>volume_per_month</t>
        </is>
      </c>
      <c r="B5" t="inlineStr">
        <is>
          <t>Transactions per month</t>
        </is>
      </c>
      <c r="C5" s="29">
        <f>volume_per_month</f>
        <v/>
      </c>
      <c r="D5" t="inlineStr">
        <is>
          <t>delivery notes / month</t>
        </is>
      </c>
      <c r="E5" s="12" t="inlineStr">
        <is>
          <t>Goods-receipt log, 12-month average (fictional).</t>
        </is>
      </c>
      <c r="F5" s="30" t="inlineStr">
        <is>
          <t>high</t>
        </is>
      </c>
    </row>
    <row r="6">
      <c r="A6" t="inlineStr">
        <is>
          <t>minutes_before</t>
        </is>
      </c>
      <c r="B6" t="inlineStr">
        <is>
          <t>Handling time per transaction today</t>
        </is>
      </c>
      <c r="C6" s="31">
        <f>minutes_before</f>
        <v/>
      </c>
      <c r="D6" t="inlineStr">
        <is>
          <t>minutes</t>
        </is>
      </c>
      <c r="E6" s="12" t="inlineStr">
        <is>
          <t>Time study on a sample of 50 notes (fictional).</t>
        </is>
      </c>
      <c r="F6" s="30" t="inlineStr">
        <is>
          <t>medium</t>
        </is>
      </c>
    </row>
    <row r="7">
      <c r="A7" t="inlineStr">
        <is>
          <t>minutes_after</t>
        </is>
      </c>
      <c r="B7" t="inlineStr">
        <is>
          <t>Handling time per transaction with the AI solution</t>
        </is>
      </c>
      <c r="C7" s="31">
        <f>minutes_after</f>
        <v/>
      </c>
      <c r="D7" t="inlineStr">
        <is>
          <t>minutes</t>
        </is>
      </c>
      <c r="E7" s="12" t="inlineStr">
        <is>
          <t>Vendor demo on 30 sample notes; clerk checks and confirms each pre-filled receipt.</t>
        </is>
      </c>
      <c r="F7" s="30" t="inlineStr">
        <is>
          <t>low</t>
        </is>
      </c>
      <c r="G7" t="inlineStr">
        <is>
          <t>3 / base / 1.5</t>
        </is>
      </c>
    </row>
    <row r="8">
      <c r="A8" t="inlineStr">
        <is>
          <t>hourly_cost_eur</t>
        </is>
      </c>
      <c r="B8" t="inlineStr">
        <is>
          <t>Fully loaded cost per hour</t>
        </is>
      </c>
      <c r="C8" s="27">
        <f>hourly_cost_eur</f>
        <v/>
      </c>
      <c r="D8" t="inlineStr">
        <is>
          <t>EUR / hour</t>
        </is>
      </c>
      <c r="E8" s="12" t="inlineStr">
        <is>
          <t>Controlling standard rate (fictional), including salary, social charges and overhead.</t>
        </is>
      </c>
      <c r="F8" s="30" t="inlineStr">
        <is>
          <t>high</t>
        </is>
      </c>
    </row>
    <row r="9">
      <c r="A9" t="inlineStr">
        <is>
          <t>share_hours_redeployed</t>
        </is>
      </c>
      <c r="B9" t="inlineStr">
        <is>
          <t>Share of saved hours redeployed or avoiding a cost</t>
        </is>
      </c>
      <c r="C9" s="26">
        <f>share_hours_redeployed</f>
        <v/>
      </c>
      <c r="D9" t="inlineStr">
        <is>
          <t>share (0-1)</t>
        </is>
      </c>
      <c r="E9" s="12" t="inlineStr">
        <is>
          <t>Process owner plan to move time to the backlog of supplier claims; the rest is absorbed and not counted as cash.</t>
        </is>
      </c>
      <c r="F9" s="30" t="inlineStr">
        <is>
          <t>low</t>
        </is>
      </c>
      <c r="G9" t="inlineStr">
        <is>
          <t>0.25 / base / 0.75</t>
        </is>
      </c>
    </row>
    <row r="10">
      <c r="A10" t="inlineStr">
        <is>
          <t>error_rate_before</t>
        </is>
      </c>
      <c r="B10" t="inlineStr">
        <is>
          <t>Error rate today</t>
        </is>
      </c>
      <c r="C10" s="32">
        <f>error_rate_before</f>
        <v/>
      </c>
      <c r="D10" t="inlineStr">
        <is>
          <t>share of transactions</t>
        </is>
      </c>
      <c r="E10" s="12" t="inlineStr">
        <is>
          <t>Stock-count findings traced to keying errors (fictional).</t>
        </is>
      </c>
      <c r="F10" s="30" t="inlineStr">
        <is>
          <t>medium</t>
        </is>
      </c>
    </row>
    <row r="11">
      <c r="A11" t="inlineStr">
        <is>
          <t>error_rate_after</t>
        </is>
      </c>
      <c r="B11" t="inlineStr">
        <is>
          <t>Error rate with the AI solution</t>
        </is>
      </c>
      <c r="C11" s="32">
        <f>error_rate_after</f>
        <v/>
      </c>
      <c r="D11" t="inlineStr">
        <is>
          <t>share of transactions</t>
        </is>
      </c>
      <c r="E11" s="12" t="inlineStr">
        <is>
          <t>Remaining errors from low-confidence fields the clerk does not catch; estimate.</t>
        </is>
      </c>
      <c r="F11" s="30" t="inlineStr">
        <is>
          <t>medium</t>
        </is>
      </c>
    </row>
    <row r="12">
      <c r="A12" t="inlineStr">
        <is>
          <t>cost_per_error_eur</t>
        </is>
      </c>
      <c r="B12" t="inlineStr">
        <is>
          <t>Cost per error</t>
        </is>
      </c>
      <c r="C12" s="27">
        <f>cost_per_error_eur</f>
        <v/>
      </c>
      <c r="D12" t="inlineStr">
        <is>
          <t>EUR / error</t>
        </is>
      </c>
      <c r="E12" s="12" t="inlineStr">
        <is>
          <t>Rework time plus stock correction, estimated by the process owner.</t>
        </is>
      </c>
      <c r="F12" s="30" t="inlineStr">
        <is>
          <t>medium</t>
        </is>
      </c>
    </row>
    <row r="13">
      <c r="A13" t="inlineStr">
        <is>
          <t>licence_cost_per_year_eur</t>
        </is>
      </c>
      <c r="B13" t="inlineStr">
        <is>
          <t>Licence cost per year</t>
        </is>
      </c>
      <c r="C13" s="27">
        <f>licence_cost_per_year_eur</f>
        <v/>
      </c>
      <c r="D13" t="inlineStr">
        <is>
          <t>EUR / year</t>
        </is>
      </c>
      <c r="E13" s="12" t="inlineStr">
        <is>
          <t>Indicative vendor quote for the document volume (fictional).</t>
        </is>
      </c>
      <c r="F13" s="30" t="inlineStr">
        <is>
          <t>high</t>
        </is>
      </c>
    </row>
    <row r="14">
      <c r="A14" t="inlineStr">
        <is>
          <t>build_days</t>
        </is>
      </c>
      <c r="B14" t="inlineStr">
        <is>
          <t>Internal build effort</t>
        </is>
      </c>
      <c r="C14" s="29">
        <f>build_days</f>
        <v/>
      </c>
      <c r="D14" t="inlineStr">
        <is>
          <t>person-days</t>
        </is>
      </c>
      <c r="E14" s="12" t="inlineStr">
        <is>
          <t>IT estimate for interface, configuration, testing and key-user time.</t>
        </is>
      </c>
      <c r="F14" s="30" t="inlineStr">
        <is>
          <t>medium</t>
        </is>
      </c>
    </row>
    <row r="15">
      <c r="A15" t="inlineStr">
        <is>
          <t>day_rate_eur</t>
        </is>
      </c>
      <c r="B15" t="inlineStr">
        <is>
          <t>Internal day rate</t>
        </is>
      </c>
      <c r="C15" s="27">
        <f>day_rate_eur</f>
        <v/>
      </c>
      <c r="D15" t="inlineStr">
        <is>
          <t>EUR / day</t>
        </is>
      </c>
      <c r="E15" s="12" t="inlineStr">
        <is>
          <t>Controlling internal rate (fictional).</t>
        </is>
      </c>
      <c r="F15" s="30" t="inlineStr">
        <is>
          <t>high</t>
        </is>
      </c>
    </row>
    <row r="16">
      <c r="A16" t="inlineStr">
        <is>
          <t>other_one_off_eur</t>
        </is>
      </c>
      <c r="B16" t="inlineStr">
        <is>
          <t>Other one-off costs</t>
        </is>
      </c>
      <c r="C16" s="27">
        <f>other_one_off_eur</f>
        <v/>
      </c>
      <c r="D16" t="inlineStr">
        <is>
          <t>EUR</t>
        </is>
      </c>
      <c r="E16" s="12" t="inlineStr">
        <is>
          <t>Training, change management and an external integration partner.</t>
        </is>
      </c>
      <c r="F16" s="30" t="inlineStr">
        <is>
          <t>medium</t>
        </is>
      </c>
    </row>
    <row r="17">
      <c r="A17" t="inlineStr">
        <is>
          <t>run_cost_per_year_eur</t>
        </is>
      </c>
      <c r="B17" t="inlineStr">
        <is>
          <t>Run cost per year</t>
        </is>
      </c>
      <c r="C17" s="27">
        <f>run_cost_per_year_eur</f>
        <v/>
      </c>
      <c r="D17" t="inlineStr">
        <is>
          <t>EUR / year</t>
        </is>
      </c>
      <c r="E17" s="12" t="inlineStr">
        <is>
          <t>Hosting, monitoring, support and a monthly quality sample.</t>
        </is>
      </c>
      <c r="F17" s="30" t="inlineStr">
        <is>
          <t>medium</t>
        </is>
      </c>
    </row>
    <row r="18">
      <c r="A18" t="inlineStr">
        <is>
          <t>adoption_initial</t>
        </is>
      </c>
      <c r="B18" t="inlineStr">
        <is>
          <t>Adoption during the ramp-up</t>
        </is>
      </c>
      <c r="C18" s="26">
        <f>adoption_initial</f>
        <v/>
      </c>
      <c r="D18" t="inlineStr">
        <is>
          <t>share of volume</t>
        </is>
      </c>
      <c r="E18" s="12" t="inlineStr">
        <is>
          <t>Typical first-quarter adoption; only PDF notes from the largest suppliers at first.</t>
        </is>
      </c>
      <c r="F18" s="30" t="inlineStr">
        <is>
          <t>medium</t>
        </is>
      </c>
    </row>
    <row r="19">
      <c r="A19" t="inlineStr">
        <is>
          <t>ramp_months</t>
        </is>
      </c>
      <c r="B19" t="inlineStr">
        <is>
          <t>Length of the ramp-up</t>
        </is>
      </c>
      <c r="C19" s="28">
        <f>ramp_months</f>
        <v/>
      </c>
      <c r="D19" t="inlineStr">
        <is>
          <t>months</t>
        </is>
      </c>
      <c r="E19" s="12" t="inlineStr">
        <is>
          <t>Roll-out plan.</t>
        </is>
      </c>
      <c r="F19" s="30" t="inlineStr">
        <is>
          <t>medium</t>
        </is>
      </c>
    </row>
    <row r="20">
      <c r="A20" t="inlineStr">
        <is>
          <t>adoption_steady</t>
        </is>
      </c>
      <c r="B20" t="inlineStr">
        <is>
          <t>Adoption after the ramp-up</t>
        </is>
      </c>
      <c r="C20" s="26">
        <f>adoption_steady</f>
        <v/>
      </c>
      <c r="D20" t="inlineStr">
        <is>
          <t>share of volume</t>
        </is>
      </c>
      <c r="E20" s="12" t="inlineStr">
        <is>
          <t>About 20% of notes are handwritten or unusual layouts and stay manual.</t>
        </is>
      </c>
      <c r="F20" s="30" t="inlineStr">
        <is>
          <t>low</t>
        </is>
      </c>
      <c r="G20" t="inlineStr">
        <is>
          <t>0.6 / base / 0.9</t>
        </is>
      </c>
    </row>
    <row r="21">
      <c r="A21" t="inlineStr">
        <is>
          <t>discount_rate</t>
        </is>
      </c>
      <c r="B21" t="inlineStr">
        <is>
          <t>Discount rate</t>
        </is>
      </c>
      <c r="C21" s="32">
        <f>discount_rate</f>
        <v/>
      </c>
      <c r="D21" t="inlineStr">
        <is>
          <t>per year</t>
        </is>
      </c>
      <c r="E21" s="12" t="inlineStr">
        <is>
          <t>Finance standard rate for internal projects (fictional).</t>
        </is>
      </c>
      <c r="F21" s="30" t="inlineStr">
        <is>
          <t>high</t>
        </is>
      </c>
    </row>
  </sheetData>
  <dataValidations count="1">
    <dataValidation sqref="F5 F6 F7 F8 F9 F10 F11 F12 F13 F14 F15 F16 F17 F18 F19 F20 F21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2026-10-10T11:33:39Z</dcterms:created>
  <dcterms:modified xsi:type="dcterms:W3CDTF">2026-10-10T11:33:39Z</dcterms:modified>
</cp:coreProperties>
</file>